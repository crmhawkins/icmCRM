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Y:\CONTROL DE OBRAS\ANTERIORES A 2022\CONTROL DE OBRAS 2021\"/>
    </mc:Choice>
  </mc:AlternateContent>
  <workbookProtection workbookPassword="BB2F" lockStructure="1"/>
  <bookViews>
    <workbookView xWindow="0" yWindow="0" windowWidth="12900" windowHeight="4965" tabRatio="810"/>
  </bookViews>
  <sheets>
    <sheet name="JUANO" sheetId="35" r:id="rId1"/>
    <sheet name="Hoja1" sheetId="36" r:id="rId2"/>
  </sheets>
  <definedNames>
    <definedName name="_xlnm.Print_Area" localSheetId="0">JUANO!$B$2:$O$77,JUANO!$P$18:$Y$75</definedName>
  </definedNames>
  <calcPr calcId="162913"/>
</workbook>
</file>

<file path=xl/calcChain.xml><?xml version="1.0" encoding="utf-8"?>
<calcChain xmlns="http://schemas.openxmlformats.org/spreadsheetml/2006/main">
  <c r="M75" i="35" l="1"/>
  <c r="B16" i="36" l="1"/>
  <c r="B17" i="36"/>
  <c r="B18" i="36"/>
  <c r="B19" i="36"/>
  <c r="B20" i="36"/>
  <c r="B21" i="36"/>
  <c r="B22" i="36"/>
  <c r="B23" i="36"/>
  <c r="B24" i="36"/>
  <c r="B25" i="36"/>
  <c r="B26" i="36"/>
  <c r="B27" i="36"/>
  <c r="B28" i="36"/>
  <c r="B29" i="36"/>
  <c r="B30" i="36"/>
  <c r="B31" i="36"/>
  <c r="B32" i="36"/>
  <c r="B33" i="36"/>
  <c r="B34" i="36"/>
  <c r="B35" i="36"/>
  <c r="A16" i="36"/>
  <c r="D16" i="36" s="1"/>
  <c r="A17" i="36"/>
  <c r="D17" i="36" s="1"/>
  <c r="A18" i="36"/>
  <c r="D18" i="36" s="1"/>
  <c r="A19" i="36"/>
  <c r="D19" i="36" s="1"/>
  <c r="A20" i="36"/>
  <c r="D20" i="36" s="1"/>
  <c r="A21" i="36"/>
  <c r="D21" i="36" s="1"/>
  <c r="A22" i="36"/>
  <c r="D22" i="36" s="1"/>
  <c r="A23" i="36"/>
  <c r="D23" i="36" s="1"/>
  <c r="A24" i="36"/>
  <c r="D24" i="36" s="1"/>
  <c r="A25" i="36"/>
  <c r="D25" i="36" s="1"/>
  <c r="A26" i="36"/>
  <c r="D26" i="36" s="1"/>
  <c r="A27" i="36"/>
  <c r="D27" i="36" s="1"/>
  <c r="A28" i="36"/>
  <c r="D28" i="36" s="1"/>
  <c r="A29" i="36"/>
  <c r="D29" i="36" s="1"/>
  <c r="A30" i="36"/>
  <c r="D30" i="36" s="1"/>
  <c r="A31" i="36"/>
  <c r="D31" i="36" s="1"/>
  <c r="A32" i="36"/>
  <c r="D32" i="36" s="1"/>
  <c r="A33" i="36"/>
  <c r="D33" i="36" s="1"/>
  <c r="A34" i="36"/>
  <c r="D34" i="36" s="1"/>
  <c r="A35" i="36"/>
  <c r="D35" i="36" s="1"/>
  <c r="B15" i="36"/>
  <c r="A15" i="36"/>
  <c r="D15" i="36" s="1"/>
  <c r="I66" i="36"/>
  <c r="I65" i="36"/>
  <c r="I64" i="36"/>
  <c r="I63" i="36"/>
  <c r="I62" i="36"/>
  <c r="I61" i="36"/>
  <c r="I60" i="36"/>
  <c r="I59" i="36"/>
  <c r="I58" i="36"/>
  <c r="I57" i="36"/>
  <c r="R56" i="36"/>
  <c r="I56" i="36"/>
  <c r="R55" i="36"/>
  <c r="I55" i="36"/>
  <c r="R54" i="36"/>
  <c r="I54" i="36"/>
  <c r="R53" i="36"/>
  <c r="I53" i="36"/>
  <c r="R52" i="36"/>
  <c r="I52" i="36"/>
  <c r="R51" i="36"/>
  <c r="I51" i="36"/>
  <c r="R50" i="36"/>
  <c r="I50" i="36"/>
  <c r="R49" i="36"/>
  <c r="I49" i="36"/>
  <c r="R48" i="36"/>
  <c r="I48" i="36"/>
  <c r="R47" i="36"/>
  <c r="I47" i="36"/>
  <c r="R46" i="36"/>
  <c r="I46" i="36"/>
  <c r="I45" i="36"/>
  <c r="I44" i="36"/>
  <c r="I43" i="36"/>
  <c r="I42" i="36"/>
  <c r="I41" i="36"/>
  <c r="I40" i="36"/>
  <c r="T39" i="36"/>
  <c r="I39" i="36"/>
  <c r="T38" i="36"/>
  <c r="T36" i="36"/>
  <c r="R36" i="36"/>
  <c r="Q34" i="36"/>
  <c r="Q33" i="36"/>
  <c r="T32" i="36"/>
  <c r="Q32" i="36"/>
  <c r="R30" i="36"/>
  <c r="Q30" i="36"/>
  <c r="R26" i="36"/>
  <c r="Q26" i="36"/>
  <c r="R25" i="36"/>
  <c r="Q25" i="36"/>
  <c r="R23" i="36"/>
  <c r="Q23" i="36"/>
  <c r="O18" i="36"/>
  <c r="R18" i="36" s="1"/>
  <c r="S17" i="36"/>
  <c r="R17" i="36"/>
  <c r="W16" i="36"/>
  <c r="S16" i="36"/>
  <c r="R16" i="36"/>
  <c r="S15" i="36"/>
  <c r="R15" i="36"/>
  <c r="W14" i="36"/>
  <c r="S14" i="36"/>
  <c r="R14" i="36"/>
  <c r="S13" i="36"/>
  <c r="R13" i="36"/>
  <c r="S12" i="36"/>
  <c r="R12" i="36"/>
  <c r="W11" i="36"/>
  <c r="S11" i="36"/>
  <c r="R11" i="36"/>
  <c r="W10" i="36"/>
  <c r="S10" i="36"/>
  <c r="R10" i="36"/>
  <c r="U9" i="36"/>
  <c r="T9" i="36"/>
  <c r="S9" i="36"/>
  <c r="R9" i="36"/>
  <c r="W8" i="36"/>
  <c r="U8" i="36"/>
  <c r="T8" i="36"/>
  <c r="S8" i="36"/>
  <c r="R8" i="36"/>
  <c r="A8" i="36"/>
  <c r="H8" i="36" s="1"/>
  <c r="U7" i="36"/>
  <c r="T7" i="36"/>
  <c r="S7" i="36"/>
  <c r="R7" i="36"/>
  <c r="H7" i="36"/>
  <c r="U6" i="36"/>
  <c r="T6" i="36"/>
  <c r="S6" i="36"/>
  <c r="R6" i="36"/>
  <c r="H6" i="36"/>
  <c r="O5" i="36"/>
  <c r="U5" i="36" s="1"/>
  <c r="A5" i="36"/>
  <c r="H5" i="36" s="1"/>
  <c r="O4" i="36"/>
  <c r="R4" i="36" s="1"/>
  <c r="A4" i="36"/>
  <c r="H4" i="36" s="1"/>
  <c r="U3" i="36"/>
  <c r="T3" i="36"/>
  <c r="S3" i="36"/>
  <c r="R3" i="36"/>
  <c r="H3" i="36"/>
  <c r="I8" i="36" l="1"/>
  <c r="H9" i="36"/>
  <c r="V20" i="35" s="1"/>
  <c r="U4" i="36"/>
  <c r="I67" i="36"/>
  <c r="R5" i="36"/>
  <c r="S4" i="36"/>
  <c r="S5" i="36"/>
  <c r="S18" i="36"/>
  <c r="X18" i="36"/>
  <c r="T4" i="36"/>
  <c r="I5" i="36"/>
  <c r="T5" i="36"/>
  <c r="W18" i="36"/>
  <c r="X22" i="35" l="1"/>
  <c r="X75" i="35"/>
  <c r="X31" i="35"/>
  <c r="X32" i="35"/>
  <c r="M32" i="35"/>
  <c r="X20" i="35"/>
  <c r="X21" i="35"/>
  <c r="X23" i="35"/>
  <c r="X24" i="35"/>
  <c r="X25" i="35"/>
  <c r="X26" i="35"/>
  <c r="X27" i="35"/>
  <c r="X28" i="35"/>
  <c r="X29" i="35"/>
  <c r="X30" i="35"/>
  <c r="X52" i="35"/>
  <c r="X53" i="35"/>
  <c r="X54" i="35"/>
  <c r="X55" i="35"/>
  <c r="X56" i="35"/>
  <c r="X57" i="35"/>
  <c r="X58" i="35"/>
  <c r="X59" i="35"/>
  <c r="X60" i="35"/>
  <c r="X61" i="35"/>
  <c r="X62" i="35"/>
  <c r="X63" i="35"/>
  <c r="X64" i="35"/>
  <c r="X65" i="35"/>
  <c r="X66" i="35"/>
  <c r="X67" i="35"/>
  <c r="X68" i="35"/>
  <c r="X69" i="35"/>
  <c r="X70" i="35"/>
  <c r="X71" i="35"/>
  <c r="X51" i="35"/>
  <c r="Y52" i="35"/>
  <c r="C16" i="36" s="1"/>
  <c r="E16" i="36" s="1"/>
  <c r="Y53" i="35"/>
  <c r="C17" i="36" s="1"/>
  <c r="E17" i="36" s="1"/>
  <c r="Y54" i="35"/>
  <c r="C18" i="36" s="1"/>
  <c r="E18" i="36" s="1"/>
  <c r="Y55" i="35"/>
  <c r="C19" i="36" s="1"/>
  <c r="E19" i="36" s="1"/>
  <c r="Y56" i="35"/>
  <c r="C20" i="36" s="1"/>
  <c r="E20" i="36" s="1"/>
  <c r="Y57" i="35"/>
  <c r="C21" i="36" s="1"/>
  <c r="E21" i="36" s="1"/>
  <c r="Y58" i="35"/>
  <c r="C22" i="36" s="1"/>
  <c r="E22" i="36" s="1"/>
  <c r="Y59" i="35"/>
  <c r="C23" i="36" s="1"/>
  <c r="E23" i="36" s="1"/>
  <c r="Y60" i="35"/>
  <c r="C24" i="36" s="1"/>
  <c r="E24" i="36" s="1"/>
  <c r="Y61" i="35"/>
  <c r="C25" i="36" s="1"/>
  <c r="E25" i="36" s="1"/>
  <c r="Y62" i="35"/>
  <c r="C26" i="36" s="1"/>
  <c r="E26" i="36" s="1"/>
  <c r="Y63" i="35"/>
  <c r="C27" i="36" s="1"/>
  <c r="E27" i="36" s="1"/>
  <c r="Y64" i="35"/>
  <c r="C28" i="36" s="1"/>
  <c r="E28" i="36" s="1"/>
  <c r="Y65" i="35"/>
  <c r="C29" i="36" s="1"/>
  <c r="E29" i="36" s="1"/>
  <c r="Y66" i="35"/>
  <c r="C30" i="36" s="1"/>
  <c r="E30" i="36" s="1"/>
  <c r="Y67" i="35"/>
  <c r="C31" i="36" s="1"/>
  <c r="E31" i="36" s="1"/>
  <c r="Y68" i="35"/>
  <c r="C32" i="36" s="1"/>
  <c r="E32" i="36" s="1"/>
  <c r="Y69" i="35"/>
  <c r="C33" i="36" s="1"/>
  <c r="E33" i="36" s="1"/>
  <c r="Y70" i="35"/>
  <c r="C34" i="36" s="1"/>
  <c r="E34" i="36" s="1"/>
  <c r="Y71" i="35"/>
  <c r="C35" i="36" s="1"/>
  <c r="E35" i="36" s="1"/>
  <c r="Y51" i="35"/>
  <c r="C15" i="36" s="1"/>
  <c r="E15" i="36" s="1"/>
  <c r="X33" i="35"/>
  <c r="X34" i="35"/>
  <c r="X35" i="35"/>
  <c r="X36" i="35"/>
  <c r="X37" i="35"/>
  <c r="X38" i="35"/>
  <c r="X39" i="35"/>
  <c r="X40" i="35"/>
  <c r="X41" i="35"/>
  <c r="X42" i="35"/>
  <c r="M21" i="35"/>
  <c r="N21" i="35"/>
  <c r="M20" i="35"/>
  <c r="N20" i="35"/>
  <c r="K21" i="35"/>
  <c r="K20" i="35"/>
  <c r="K24" i="35"/>
  <c r="X43" i="35"/>
  <c r="X44" i="35"/>
  <c r="X45" i="35"/>
  <c r="L41" i="35"/>
  <c r="N41" i="35" s="1"/>
  <c r="L42" i="35"/>
  <c r="N42" i="35" s="1"/>
  <c r="L43" i="35"/>
  <c r="N43" i="35" s="1"/>
  <c r="L44" i="35"/>
  <c r="N44" i="35" s="1"/>
  <c r="L45" i="35"/>
  <c r="N45" i="35" s="1"/>
  <c r="L46" i="35"/>
  <c r="N46" i="35" s="1"/>
  <c r="L47" i="35"/>
  <c r="N47" i="35" s="1"/>
  <c r="L40" i="35"/>
  <c r="N40" i="35" s="1"/>
  <c r="L39" i="35"/>
  <c r="N39" i="35" s="1"/>
  <c r="M28" i="35"/>
  <c r="M29" i="35"/>
  <c r="M30" i="35"/>
  <c r="M31" i="35"/>
  <c r="M33" i="35"/>
  <c r="M34" i="35"/>
  <c r="M35" i="35"/>
  <c r="M27" i="35"/>
  <c r="M9" i="35"/>
  <c r="M10" i="35"/>
  <c r="M11" i="35"/>
  <c r="M12" i="35"/>
  <c r="M13" i="35"/>
  <c r="M14" i="35"/>
  <c r="M15" i="35"/>
  <c r="M16" i="35"/>
  <c r="M17" i="35"/>
  <c r="M18" i="35"/>
  <c r="M19" i="35"/>
  <c r="M22" i="35"/>
  <c r="M8" i="35"/>
  <c r="K53" i="35"/>
  <c r="K54" i="35"/>
  <c r="K55" i="35"/>
  <c r="K56" i="35"/>
  <c r="K40" i="35"/>
  <c r="K41" i="35"/>
  <c r="K42" i="35"/>
  <c r="K43" i="35"/>
  <c r="K44" i="35"/>
  <c r="K45" i="35"/>
  <c r="K46" i="35"/>
  <c r="K47" i="35"/>
  <c r="K39" i="35"/>
  <c r="K28" i="35"/>
  <c r="K29" i="35"/>
  <c r="K30" i="35"/>
  <c r="K31" i="35"/>
  <c r="K32" i="35"/>
  <c r="K33" i="35"/>
  <c r="K34" i="35"/>
  <c r="K35" i="35"/>
  <c r="K27" i="35"/>
  <c r="K9" i="35"/>
  <c r="K10" i="35"/>
  <c r="K11" i="35"/>
  <c r="K12" i="35"/>
  <c r="K13" i="35"/>
  <c r="K14" i="35"/>
  <c r="K15" i="35"/>
  <c r="K16" i="35"/>
  <c r="K17" i="35"/>
  <c r="K18" i="35"/>
  <c r="K19" i="35"/>
  <c r="K22" i="35"/>
  <c r="K8" i="35"/>
  <c r="L53" i="35"/>
  <c r="N53" i="35" s="1"/>
  <c r="L54" i="35"/>
  <c r="N54" i="35" s="1"/>
  <c r="L55" i="35"/>
  <c r="N55" i="35" s="1"/>
  <c r="L56" i="35"/>
  <c r="N56" i="35" s="1"/>
  <c r="L57" i="35"/>
  <c r="N57" i="35" s="1"/>
  <c r="L58" i="35"/>
  <c r="N58" i="35" s="1"/>
  <c r="N34" i="35"/>
  <c r="N35" i="35"/>
  <c r="N28" i="35"/>
  <c r="N29" i="35"/>
  <c r="N30" i="35"/>
  <c r="N31" i="35"/>
  <c r="N32" i="35"/>
  <c r="N33" i="35"/>
  <c r="N27" i="35"/>
  <c r="N22" i="35"/>
  <c r="N9" i="35"/>
  <c r="N10" i="35"/>
  <c r="N11" i="35"/>
  <c r="N12" i="35"/>
  <c r="N13" i="35"/>
  <c r="N14" i="35"/>
  <c r="N15" i="35"/>
  <c r="N16" i="35"/>
  <c r="N17" i="35"/>
  <c r="N18" i="35"/>
  <c r="N19" i="35"/>
  <c r="N8" i="35"/>
  <c r="K58" i="35"/>
  <c r="K57" i="35"/>
  <c r="X72" i="35" l="1"/>
  <c r="J51" i="35" s="1"/>
  <c r="N51" i="35" s="1"/>
  <c r="N36" i="35"/>
  <c r="K36" i="35"/>
  <c r="N23" i="35"/>
  <c r="K23" i="35"/>
  <c r="Y72" i="35"/>
  <c r="N48" i="35"/>
  <c r="K48" i="35"/>
  <c r="X46" i="35"/>
  <c r="J52" i="35" s="1"/>
  <c r="N52" i="35" s="1"/>
  <c r="N65" i="35" l="1"/>
  <c r="K59" i="35"/>
  <c r="N59" i="35"/>
  <c r="N64" i="35"/>
  <c r="N63" i="35"/>
  <c r="M71" i="35" l="1"/>
  <c r="N67" i="35" s="1"/>
  <c r="N68" i="35" s="1"/>
  <c r="N66" i="35"/>
  <c r="N84" i="35" l="1"/>
  <c r="M64" i="35"/>
  <c r="M65" i="35"/>
  <c r="M63" i="35"/>
  <c r="N71" i="35"/>
  <c r="M66" i="35"/>
  <c r="N75" i="35" l="1"/>
  <c r="M77" i="35"/>
  <c r="M76" i="35"/>
  <c r="M68" i="35"/>
  <c r="G65" i="35" l="1"/>
  <c r="G74" i="35"/>
</calcChain>
</file>

<file path=xl/sharedStrings.xml><?xml version="1.0" encoding="utf-8"?>
<sst xmlns="http://schemas.openxmlformats.org/spreadsheetml/2006/main" count="333" uniqueCount="226">
  <si>
    <t>HIDRAULICA</t>
  </si>
  <si>
    <t>CORTE DE SIERRA</t>
  </si>
  <si>
    <t>CIZALLA Y/O PLEGADORA</t>
  </si>
  <si>
    <t>MONTAJE DE PIEZAS PUNT.</t>
  </si>
  <si>
    <t>CHORREADO Y LIMPIEZA</t>
  </si>
  <si>
    <t>MATERIAL</t>
  </si>
  <si>
    <t>PORTES</t>
  </si>
  <si>
    <t>OTROS</t>
  </si>
  <si>
    <t>MATERIALES</t>
  </si>
  <si>
    <t>COSTE UNITARIO</t>
  </si>
  <si>
    <t>TOTAL</t>
  </si>
  <si>
    <t>LASER</t>
  </si>
  <si>
    <t>AGUA</t>
  </si>
  <si>
    <t>A/C</t>
  </si>
  <si>
    <t>X</t>
  </si>
  <si>
    <t>CHAPA</t>
  </si>
  <si>
    <t>TORNO Y FRESA</t>
  </si>
  <si>
    <t>SOLDADURA A/C</t>
  </si>
  <si>
    <t>SOLDADURA ALUMINIO</t>
  </si>
  <si>
    <t>SOLDADURA INOX</t>
  </si>
  <si>
    <t>TERMINAZIÓN Y PINTURA</t>
  </si>
  <si>
    <t>TECNICOS</t>
  </si>
  <si>
    <t>PRECIO VENTA UNITARIO</t>
  </si>
  <si>
    <t>TOTAL VENTA</t>
  </si>
  <si>
    <t>VERIFICACIÓN</t>
  </si>
  <si>
    <t>TRABAJOS DE PRODUCCIÓN</t>
  </si>
  <si>
    <t>INOX</t>
  </si>
  <si>
    <t>4 - 6 MM</t>
  </si>
  <si>
    <t>8 - 10 MM</t>
  </si>
  <si>
    <t>12 MM</t>
  </si>
  <si>
    <t>ALUM</t>
  </si>
  <si>
    <t>0 - 3 MM</t>
  </si>
  <si>
    <t>0 - 15 MM</t>
  </si>
  <si>
    <t>SIMPLE CABEZAL</t>
  </si>
  <si>
    <t>DOBLE CABEZAL</t>
  </si>
  <si>
    <t>TRABAJOS DE CORTE POR LASER - AGUA</t>
  </si>
  <si>
    <t>OTROS SERVICIOS</t>
  </si>
  <si>
    <t>GRUAS</t>
  </si>
  <si>
    <t>DIETAS</t>
  </si>
  <si>
    <t>SUBCONTRATACION</t>
  </si>
  <si>
    <t>PINTURA Y/O CHORREADO</t>
  </si>
  <si>
    <t>ELECTRICIDAD</t>
  </si>
  <si>
    <t>MECANIZADO</t>
  </si>
  <si>
    <t>UNIDAD</t>
  </si>
  <si>
    <t>COMERCIALES</t>
  </si>
  <si>
    <t>MATERIAL HIDRÁULICO</t>
  </si>
  <si>
    <t>MATERIAL ELÉCTRICO</t>
  </si>
  <si>
    <t>PINTURA POLIURETANO + CATALIZADOR</t>
  </si>
  <si>
    <t>IMPRIMACIÓN EPOXI + CATALIZADOR</t>
  </si>
  <si>
    <t>OTROS MATERIALES</t>
  </si>
  <si>
    <t>UD</t>
  </si>
  <si>
    <t>LARGO</t>
  </si>
  <si>
    <t>ANCHO</t>
  </si>
  <si>
    <t>ESPESOR</t>
  </si>
  <si>
    <t>ALUMINIO</t>
  </si>
  <si>
    <t>COSTE</t>
  </si>
  <si>
    <t>PRECIO COSTE</t>
  </si>
  <si>
    <t>CALCULO DE PRECIOS DE CHAPAS</t>
  </si>
  <si>
    <t>RESUMEN VENTA</t>
  </si>
  <si>
    <t>PRECIO VENTA TOTAL</t>
  </si>
  <si>
    <t>TOTAL COSTE</t>
  </si>
  <si>
    <t>COSTE PRODUCCIÓN</t>
  </si>
  <si>
    <t>COSTE CORTE LASER-AGUA</t>
  </si>
  <si>
    <t>COSTE OTROS SERVICIOS</t>
  </si>
  <si>
    <t>COSTE MATERIALES</t>
  </si>
  <si>
    <t>BENEFICIO EN PRODUCCIÓN</t>
  </si>
  <si>
    <t>BENEFICION EN CORTE</t>
  </si>
  <si>
    <t>BENEFICIO EN OTROS SERVICIOS</t>
  </si>
  <si>
    <t>BENEFICIO MATERIALES</t>
  </si>
  <si>
    <t>GASTOS FINANCIEROS</t>
  </si>
  <si>
    <t>PRECIO DE VENTA TEÓRICO</t>
  </si>
  <si>
    <t>UNITARIO</t>
  </si>
  <si>
    <t>SUBASTA DE PRECIO - PRECIO A FACTURAR</t>
  </si>
  <si>
    <t>PRECIO FINAL</t>
  </si>
  <si>
    <t>PEDIDO CLIENTE</t>
  </si>
  <si>
    <t>CLIENTE</t>
  </si>
  <si>
    <t>ARTÍCULO</t>
  </si>
  <si>
    <t>REVISIÓN</t>
  </si>
  <si>
    <t>EMBALAJE</t>
  </si>
  <si>
    <t>BENEFICIO TEORICO TOTAL (no material, ni financieros)</t>
  </si>
  <si>
    <t>BENEFICIO</t>
  </si>
  <si>
    <t xml:space="preserve"> € BENEFICIO TRAS  FACTURACIÓN</t>
  </si>
  <si>
    <t>UNIDADES VALORADAS EN LA TABLA</t>
  </si>
  <si>
    <t>% BENEFICIO RESPECTO A LA FACTURACIÓN</t>
  </si>
  <si>
    <t>AISI 304</t>
  </si>
  <si>
    <t>AISI 316</t>
  </si>
  <si>
    <t>AISI 304 BRILLO</t>
  </si>
  <si>
    <t>AISI 304 SATIN</t>
  </si>
  <si>
    <t>REFERENCIA ICM</t>
  </si>
  <si>
    <t>APOYO PARA FACTURAR A UN % DETERMINADO</t>
  </si>
  <si>
    <t>% DESEADO</t>
  </si>
  <si>
    <t>PRECIO APROX A FACTURAR</t>
  </si>
  <si>
    <t>COSTE PARTIDA</t>
  </si>
  <si>
    <t>RESTO DE MATERIA PRIMA (TABLA MATERIAL)</t>
  </si>
  <si>
    <t>CHAPAS (TABLA CHAPAS)</t>
  </si>
  <si>
    <t>TOTAL DE CHAPAS EMPLEADAS</t>
  </si>
  <si>
    <t>TOTAL DE MATERIAL EMPLEADO</t>
  </si>
  <si>
    <t>ANODIZADO</t>
  </si>
  <si>
    <t>SUMATORIO DE TIEMPOS (SI NO HAY DESGLOSE)</t>
  </si>
  <si>
    <t>AISI 316 BRI SAT</t>
  </si>
  <si>
    <t>KG</t>
  </si>
  <si>
    <t>TOTAL HORAS</t>
  </si>
  <si>
    <t>MONTAJE EN OBRA</t>
  </si>
  <si>
    <t>MONTAJE ELÉCTRICO E HIDRÁULICO</t>
  </si>
  <si>
    <t>CÁLCULO DE MATERIALES</t>
  </si>
  <si>
    <t>PRECIO €/kg</t>
  </si>
  <si>
    <t>Peso unitario de la pieza (kg)</t>
  </si>
  <si>
    <t>PRECIO €/m</t>
  </si>
  <si>
    <t>Longitud unitaria de la pieza (m)</t>
  </si>
  <si>
    <t>RUTA GUARDADO OFERTA</t>
  </si>
  <si>
    <t>RUTA GUARDADO CONTROL</t>
  </si>
  <si>
    <t>COMERCIAL O TÉCNICO</t>
  </si>
  <si>
    <t>COMERCIAL / TECNICO</t>
  </si>
  <si>
    <t>MIGUEL ANGEL CABALLERO</t>
  </si>
  <si>
    <t>JOSE ANTONIO CASTILLO</t>
  </si>
  <si>
    <t>NICOLÁS TAPIA</t>
  </si>
  <si>
    <t>MOISES SANTIAGO</t>
  </si>
  <si>
    <t>ELAYN POU</t>
  </si>
  <si>
    <t>JUANO</t>
  </si>
  <si>
    <t>ANZONI</t>
  </si>
  <si>
    <t>OTRO</t>
  </si>
  <si>
    <t>MAC</t>
  </si>
  <si>
    <t>JAC</t>
  </si>
  <si>
    <t>NT</t>
  </si>
  <si>
    <t>MS</t>
  </si>
  <si>
    <t>EP</t>
  </si>
  <si>
    <t>JFE</t>
  </si>
  <si>
    <t>AM</t>
  </si>
  <si>
    <t>OT</t>
  </si>
  <si>
    <t>DESCRIPCIÓN</t>
  </si>
  <si>
    <t>PRECIO UNITARIO</t>
  </si>
  <si>
    <t>\\192.168.1.3\Datos Taller\OFERTAS\</t>
  </si>
  <si>
    <t>\\192.168.1.3\Datos Taller\CONTROL DE OBRAS\</t>
  </si>
  <si>
    <t>CANTIDAD</t>
  </si>
  <si>
    <t>PRECIO</t>
  </si>
  <si>
    <t>IMPORTE</t>
  </si>
  <si>
    <t xml:space="preserve">CHAPAS </t>
  </si>
  <si>
    <t>PESO                            KG</t>
  </si>
  <si>
    <t>PRECIO CHAPA</t>
  </si>
  <si>
    <r>
      <t xml:space="preserve">AISI 304 </t>
    </r>
    <r>
      <rPr>
        <b/>
        <sz val="12"/>
        <color rgb="FFFF0000"/>
        <rFont val="Calibri"/>
        <family val="2"/>
        <scheme val="minor"/>
      </rPr>
      <t>2B</t>
    </r>
    <r>
      <rPr>
        <b/>
        <sz val="12"/>
        <color theme="1"/>
        <rFont val="Calibri"/>
        <family val="2"/>
        <scheme val="minor"/>
      </rPr>
      <t>/LAM</t>
    </r>
  </si>
  <si>
    <t>AISI 304 SAT</t>
  </si>
  <si>
    <t>AISI 304 BA</t>
  </si>
  <si>
    <t>AISI 316 2B/LAM</t>
  </si>
  <si>
    <t>AISI 316 SAT</t>
  </si>
  <si>
    <t>AISI 316 BA</t>
  </si>
  <si>
    <t>DC01</t>
  </si>
  <si>
    <t>S355J2</t>
  </si>
  <si>
    <t>S355MC</t>
  </si>
  <si>
    <t>PINTURA RAL   (KG)(ꝭ=1,15 KG/LTR)</t>
  </si>
  <si>
    <t>Chapa 3000 x 1500 x 0,8 mm</t>
  </si>
  <si>
    <t>DISOLVENTE UNIVERSAL  (ꝭ=0,90 KG/LTR)</t>
  </si>
  <si>
    <t>Chapa 3000 x 1500 x 1 mm</t>
  </si>
  <si>
    <t xml:space="preserve">CATALIZADOR POLIURETANO    </t>
  </si>
  <si>
    <t>Chapa 3000 x 1500 x 1,2 mm</t>
  </si>
  <si>
    <t>IMPRIMACION EPOXI RAL 7035 (KG) (ꝭ=1,30 KG/LTR)</t>
  </si>
  <si>
    <t>Chapa 3000 x 1500 x 1,5 mm</t>
  </si>
  <si>
    <t>IMPRIMACION FOSFATANTE</t>
  </si>
  <si>
    <t xml:space="preserve">Chapa 3000 x 1500 x 2 mm </t>
  </si>
  <si>
    <t>CATALIZADOR EPOXI</t>
  </si>
  <si>
    <t>Chapa 3000 x 1500 x 2,5 mm  </t>
  </si>
  <si>
    <t xml:space="preserve">Chapa 3000 x 1500 x 3 mm  </t>
  </si>
  <si>
    <t xml:space="preserve">Chapa 3000 x 1500 x 4 mm </t>
  </si>
  <si>
    <t>PRECIO                         COSTE</t>
  </si>
  <si>
    <t xml:space="preserve">Chapa 3000 x 1500 x 5 mm   </t>
  </si>
  <si>
    <t xml:space="preserve">ESPESOR CHAPA                                </t>
  </si>
  <si>
    <t>KGS  CHAPA           PEDIDO</t>
  </si>
  <si>
    <t>KGS UNIDAD DE CHAPA</t>
  </si>
  <si>
    <t xml:space="preserve">%                      CHAPA UTILIZADA                  </t>
  </si>
  <si>
    <t xml:space="preserve">Chapa 3000 x 1500 x 6 mm </t>
  </si>
  <si>
    <t xml:space="preserve">Chapa 3000 x 1500 x 8 mm </t>
  </si>
  <si>
    <t xml:space="preserve">Chapa 3000 x 1500 x 10 mm </t>
  </si>
  <si>
    <t xml:space="preserve">Chapa 3000 x 1500 x 12 mm </t>
  </si>
  <si>
    <t xml:space="preserve">Chapa 3000 x 1500 x 15 mm </t>
  </si>
  <si>
    <t xml:space="preserve">Chapa 3000 x 1500 x 18 mm </t>
  </si>
  <si>
    <t xml:space="preserve">Chapa 3000 x 1500 x 20 mm </t>
  </si>
  <si>
    <t>CHAPAS PRECIOS JULIO 2019</t>
  </si>
  <si>
    <t>PESO                KG</t>
  </si>
  <si>
    <t>PRECIO 1050</t>
  </si>
  <si>
    <t xml:space="preserve">PRECIO 5754 </t>
  </si>
  <si>
    <t>AL                 PALILLO</t>
  </si>
  <si>
    <t>PRECIO 5083</t>
  </si>
  <si>
    <t xml:space="preserve">AL                        ANOD. </t>
  </si>
  <si>
    <t>PRECIO                      6082</t>
  </si>
  <si>
    <t>18,5 KG</t>
  </si>
  <si>
    <t>102/5,5</t>
  </si>
  <si>
    <t>Chapa 2000 x 1000 x 1,5 mm</t>
  </si>
  <si>
    <t>8,1 KG</t>
  </si>
  <si>
    <t>42/5,5</t>
  </si>
  <si>
    <t>25 KG</t>
  </si>
  <si>
    <t>30,5 KG</t>
  </si>
  <si>
    <t>Chapa 3000 x 1500 x 2.5 PALILLO (TOP GRIP)</t>
  </si>
  <si>
    <t>Chapa 3000 x 1500 x 2.5 PALILLO</t>
  </si>
  <si>
    <t>Chapa 2500 x 1250 x 2,5 PALILLO</t>
  </si>
  <si>
    <t>110/5,5</t>
  </si>
  <si>
    <t>37 KG</t>
  </si>
  <si>
    <t>190/5,5</t>
  </si>
  <si>
    <t xml:space="preserve">Chapa 2000 x 1000 x 3 mm  </t>
  </si>
  <si>
    <t>16,2 KG</t>
  </si>
  <si>
    <t>80/5,5</t>
  </si>
  <si>
    <t>50 KG</t>
  </si>
  <si>
    <t>61 KG</t>
  </si>
  <si>
    <t>74 KG</t>
  </si>
  <si>
    <t xml:space="preserve">Chapa 2000 x 1000 x 6 mm </t>
  </si>
  <si>
    <t>32,4 KG</t>
  </si>
  <si>
    <t>160/5,5</t>
  </si>
  <si>
    <t>100 KG</t>
  </si>
  <si>
    <t>122 KG</t>
  </si>
  <si>
    <t>RESTO DE MATERIALES</t>
  </si>
  <si>
    <t>UDS</t>
  </si>
  <si>
    <t>150 KG</t>
  </si>
  <si>
    <t>190 KG</t>
  </si>
  <si>
    <t>PROCESOS</t>
  </si>
  <si>
    <t>COSTE                            /                                       HORA</t>
  </si>
  <si>
    <t>PRECIO DE VENTA</t>
  </si>
  <si>
    <t>HORAS</t>
  </si>
  <si>
    <t>MINUTOS</t>
  </si>
  <si>
    <t>OFICINA TECNICA</t>
  </si>
  <si>
    <t>CORTE SIERRA</t>
  </si>
  <si>
    <t>MONTAJE Y PUNTEADO DE PZAS</t>
  </si>
  <si>
    <t>CHORREADO</t>
  </si>
  <si>
    <t>TERMINACION Y PINTURA</t>
  </si>
  <si>
    <r>
      <t xml:space="preserve">PINTURA RAL </t>
    </r>
    <r>
      <rPr>
        <b/>
        <sz val="12"/>
        <color rgb="FFFF0000"/>
        <rFont val="Arial"/>
        <family val="2"/>
      </rPr>
      <t>____</t>
    </r>
  </si>
  <si>
    <t>ITURRI</t>
  </si>
  <si>
    <t>210 613</t>
  </si>
  <si>
    <t>R1</t>
  </si>
  <si>
    <t>80010226 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</si>
</sst>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_-* #,##0.0\ _€_-;\-* #,##0.0\ _€_-;_-* &quot;-&quot;??\ _€_-;_-@_-"/>
    <numFmt numFmtId="168" formatCode="0\ &quot;min&quot;"/>
    <numFmt numFmtId="169" formatCode="0.00\ &quot;€/min&quot;"/>
    <numFmt numFmtId="170" formatCode="0.00\ &quot;€/h&quot;"/>
    <numFmt numFmtId="171" formatCode="0\ &quot;ud&quot;"/>
    <numFmt numFmtId="172" formatCode="0.00\ &quot;€/ud&quot;"/>
    <numFmt numFmtId="173" formatCode="0\ &quot;mm&quot;"/>
    <numFmt numFmtId="174" formatCode="0\ &quot;kg&quot;"/>
    <numFmt numFmtId="175" formatCode="0.00\ &quot;€/kg&quot;"/>
    <numFmt numFmtId="176" formatCode="0.0\ &quot;mm&quot;"/>
    <numFmt numFmtId="177" formatCode="0.00\ &quot;min&quot;"/>
    <numFmt numFmtId="178" formatCode="0.0\ &quot;h&quot;"/>
    <numFmt numFmtId="179" formatCode="0.0\ &quot;ud&quot;"/>
    <numFmt numFmtId="180" formatCode="0.00\ &quot;€/m&quot;"/>
    <numFmt numFmtId="181" formatCode="0\ &quot;m&quot;"/>
    <numFmt numFmtId="182" formatCode="0.000"/>
    <numFmt numFmtId="183" formatCode="#,##0.0000"/>
    <numFmt numFmtId="184" formatCode="0.00\ &quot;kg&quot;"/>
    <numFmt numFmtId="185" formatCode="#,##0.00\ &quot;€&quot;"/>
    <numFmt numFmtId="186" formatCode="#,##0.000"/>
  </numFmts>
  <fonts count="19" x14ac:knownFonts="1">
    <font>
      <sz val="10"/>
      <name val="Arial"/>
    </font>
    <font>
      <sz val="10"/>
      <name val="Arial"/>
      <family val="2"/>
    </font>
    <font>
      <u/>
      <sz val="15"/>
      <color indexed="12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8"/>
      <color rgb="FF000000"/>
      <name val="Arial"/>
      <family val="2"/>
    </font>
    <font>
      <sz val="14"/>
      <color rgb="FF000000"/>
      <name val="Arial"/>
      <family val="2"/>
    </font>
    <font>
      <b/>
      <sz val="20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name val="Arial"/>
      <family val="2"/>
    </font>
    <font>
      <b/>
      <sz val="11"/>
      <name val="Arial"/>
      <family val="2"/>
    </font>
    <font>
      <b/>
      <sz val="14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CCFF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15">
    <xf numFmtId="0" fontId="0" fillId="0" borderId="0" xfId="0"/>
    <xf numFmtId="0" fontId="5" fillId="0" borderId="0" xfId="0" applyFont="1"/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165" fontId="5" fillId="0" borderId="0" xfId="3" applyFont="1"/>
    <xf numFmtId="164" fontId="5" fillId="0" borderId="0" xfId="3" applyNumberFormat="1" applyFont="1"/>
    <xf numFmtId="170" fontId="5" fillId="5" borderId="4" xfId="3" applyNumberFormat="1" applyFont="1" applyFill="1" applyBorder="1" applyAlignment="1" applyProtection="1">
      <alignment horizontal="center" vertical="center"/>
      <protection locked="0"/>
    </xf>
    <xf numFmtId="170" fontId="5" fillId="5" borderId="8" xfId="3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vertical="center"/>
    </xf>
    <xf numFmtId="0" fontId="5" fillId="0" borderId="0" xfId="0" applyFont="1" applyAlignment="1"/>
    <xf numFmtId="165" fontId="5" fillId="2" borderId="17" xfId="3" applyFont="1" applyFill="1" applyBorder="1" applyAlignment="1" applyProtection="1">
      <alignment horizontal="center" vertical="center"/>
    </xf>
    <xf numFmtId="165" fontId="5" fillId="2" borderId="13" xfId="3" applyFont="1" applyFill="1" applyBorder="1" applyAlignment="1" applyProtection="1">
      <alignment horizontal="center" vertical="center"/>
    </xf>
    <xf numFmtId="0" fontId="5" fillId="6" borderId="23" xfId="0" applyFont="1" applyFill="1" applyBorder="1" applyAlignment="1">
      <alignment horizontal="left" vertical="center"/>
    </xf>
    <xf numFmtId="0" fontId="5" fillId="6" borderId="0" xfId="0" applyFont="1" applyFill="1" applyBorder="1" applyAlignment="1">
      <alignment horizontal="left" vertical="center"/>
    </xf>
    <xf numFmtId="0" fontId="5" fillId="6" borderId="23" xfId="0" applyFont="1" applyFill="1" applyBorder="1" applyAlignment="1">
      <alignment vertical="center"/>
    </xf>
    <xf numFmtId="0" fontId="5" fillId="6" borderId="0" xfId="0" applyFont="1" applyFill="1" applyBorder="1" applyAlignment="1">
      <alignment vertical="center"/>
    </xf>
    <xf numFmtId="0" fontId="5" fillId="6" borderId="10" xfId="0" applyFont="1" applyFill="1" applyBorder="1" applyAlignment="1"/>
    <xf numFmtId="1" fontId="3" fillId="2" borderId="24" xfId="0" applyNumberFormat="1" applyFont="1" applyFill="1" applyBorder="1" applyAlignment="1" applyProtection="1">
      <alignment horizontal="center" vertical="center"/>
    </xf>
    <xf numFmtId="1" fontId="5" fillId="4" borderId="25" xfId="0" applyNumberFormat="1" applyFont="1" applyFill="1" applyBorder="1" applyAlignment="1" applyProtection="1">
      <alignment horizontal="center" vertical="center"/>
      <protection locked="0"/>
    </xf>
    <xf numFmtId="0" fontId="5" fillId="2" borderId="16" xfId="0" applyFont="1" applyFill="1" applyBorder="1" applyAlignment="1" applyProtection="1">
      <alignment horizontal="center" vertical="center"/>
    </xf>
    <xf numFmtId="173" fontId="5" fillId="4" borderId="16" xfId="0" applyNumberFormat="1" applyFont="1" applyFill="1" applyBorder="1" applyAlignment="1" applyProtection="1">
      <alignment horizontal="center" vertical="center"/>
      <protection locked="0"/>
    </xf>
    <xf numFmtId="0" fontId="5" fillId="2" borderId="26" xfId="0" applyFont="1" applyFill="1" applyBorder="1" applyAlignment="1" applyProtection="1">
      <alignment horizontal="center" vertical="center"/>
    </xf>
    <xf numFmtId="175" fontId="5" fillId="5" borderId="26" xfId="0" applyNumberFormat="1" applyFont="1" applyFill="1" applyBorder="1" applyAlignment="1" applyProtection="1">
      <alignment horizontal="center" vertical="center"/>
      <protection locked="0"/>
    </xf>
    <xf numFmtId="171" fontId="5" fillId="4" borderId="2" xfId="3" applyNumberFormat="1" applyFont="1" applyFill="1" applyBorder="1" applyAlignment="1" applyProtection="1">
      <alignment horizontal="center" vertical="center"/>
      <protection locked="0"/>
    </xf>
    <xf numFmtId="9" fontId="5" fillId="5" borderId="27" xfId="4" applyFont="1" applyFill="1" applyBorder="1" applyAlignment="1" applyProtection="1">
      <alignment horizontal="center" vertical="center"/>
      <protection locked="0"/>
    </xf>
    <xf numFmtId="1" fontId="5" fillId="4" borderId="6" xfId="0" applyNumberFormat="1" applyFont="1" applyFill="1" applyBorder="1" applyAlignment="1" applyProtection="1">
      <alignment horizontal="center" vertical="center"/>
      <protection locked="0"/>
    </xf>
    <xf numFmtId="0" fontId="5" fillId="2" borderId="7" xfId="0" applyFont="1" applyFill="1" applyBorder="1" applyAlignment="1" applyProtection="1">
      <alignment horizontal="center" vertical="center"/>
    </xf>
    <xf numFmtId="173" fontId="5" fillId="4" borderId="7" xfId="0" applyNumberFormat="1" applyFont="1" applyFill="1" applyBorder="1" applyAlignment="1" applyProtection="1">
      <alignment horizontal="center" vertical="center"/>
      <protection locked="0"/>
    </xf>
    <xf numFmtId="0" fontId="5" fillId="2" borderId="28" xfId="0" applyFont="1" applyFill="1" applyBorder="1" applyAlignment="1" applyProtection="1">
      <alignment horizontal="center" vertical="center"/>
    </xf>
    <xf numFmtId="175" fontId="5" fillId="5" borderId="28" xfId="0" applyNumberFormat="1" applyFont="1" applyFill="1" applyBorder="1" applyAlignment="1" applyProtection="1">
      <alignment horizontal="center" vertical="center"/>
      <protection locked="0"/>
    </xf>
    <xf numFmtId="9" fontId="5" fillId="5" borderId="29" xfId="4" applyFont="1" applyFill="1" applyBorder="1" applyAlignment="1" applyProtection="1">
      <alignment horizontal="center" vertical="center"/>
      <protection locked="0"/>
    </xf>
    <xf numFmtId="9" fontId="5" fillId="5" borderId="30" xfId="4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>
      <alignment vertical="center" wrapText="1"/>
    </xf>
    <xf numFmtId="175" fontId="5" fillId="5" borderId="31" xfId="0" applyNumberFormat="1" applyFont="1" applyFill="1" applyBorder="1" applyAlignment="1" applyProtection="1">
      <alignment horizontal="center" vertical="center"/>
      <protection locked="0"/>
    </xf>
    <xf numFmtId="165" fontId="3" fillId="2" borderId="14" xfId="0" applyNumberFormat="1" applyFont="1" applyFill="1" applyBorder="1" applyAlignment="1" applyProtection="1">
      <alignment vertical="center"/>
    </xf>
    <xf numFmtId="0" fontId="5" fillId="6" borderId="0" xfId="0" applyFont="1" applyFill="1"/>
    <xf numFmtId="167" fontId="5" fillId="0" borderId="0" xfId="2" applyNumberFormat="1" applyFont="1"/>
    <xf numFmtId="1" fontId="5" fillId="4" borderId="34" xfId="0" applyNumberFormat="1" applyFont="1" applyFill="1" applyBorder="1" applyAlignment="1" applyProtection="1">
      <alignment horizontal="center" vertical="center"/>
      <protection locked="0"/>
    </xf>
    <xf numFmtId="0" fontId="5" fillId="2" borderId="18" xfId="0" applyFont="1" applyFill="1" applyBorder="1" applyAlignment="1" applyProtection="1">
      <alignment horizontal="center" vertical="center"/>
    </xf>
    <xf numFmtId="173" fontId="5" fillId="4" borderId="18" xfId="0" applyNumberFormat="1" applyFont="1" applyFill="1" applyBorder="1" applyAlignment="1" applyProtection="1">
      <alignment horizontal="center" vertical="center"/>
      <protection locked="0"/>
    </xf>
    <xf numFmtId="9" fontId="5" fillId="0" borderId="0" xfId="0" applyNumberFormat="1" applyFont="1" applyAlignment="1"/>
    <xf numFmtId="176" fontId="5" fillId="4" borderId="16" xfId="0" applyNumberFormat="1" applyFont="1" applyFill="1" applyBorder="1" applyAlignment="1" applyProtection="1">
      <alignment horizontal="center" vertical="center"/>
      <protection locked="0"/>
    </xf>
    <xf numFmtId="176" fontId="5" fillId="4" borderId="7" xfId="0" applyNumberFormat="1" applyFont="1" applyFill="1" applyBorder="1" applyAlignment="1" applyProtection="1">
      <alignment horizontal="center" vertical="center"/>
      <protection locked="0"/>
    </xf>
    <xf numFmtId="176" fontId="5" fillId="4" borderId="18" xfId="0" applyNumberFormat="1" applyFont="1" applyFill="1" applyBorder="1" applyAlignment="1" applyProtection="1">
      <alignment horizontal="center" vertical="center"/>
      <protection locked="0"/>
    </xf>
    <xf numFmtId="9" fontId="5" fillId="5" borderId="12" xfId="4" applyFont="1" applyFill="1" applyBorder="1" applyAlignment="1" applyProtection="1">
      <alignment horizontal="center" vertical="center"/>
      <protection locked="0"/>
    </xf>
    <xf numFmtId="9" fontId="5" fillId="5" borderId="35" xfId="4" applyFont="1" applyFill="1" applyBorder="1" applyAlignment="1" applyProtection="1">
      <alignment horizontal="center" vertical="center"/>
      <protection locked="0"/>
    </xf>
    <xf numFmtId="0" fontId="5" fillId="6" borderId="23" xfId="0" applyFont="1" applyFill="1" applyBorder="1" applyAlignment="1"/>
    <xf numFmtId="177" fontId="5" fillId="4" borderId="6" xfId="3" applyNumberFormat="1" applyFont="1" applyFill="1" applyBorder="1" applyAlignment="1" applyProtection="1">
      <alignment horizontal="center" vertical="center"/>
      <protection locked="0"/>
    </xf>
    <xf numFmtId="0" fontId="5" fillId="2" borderId="36" xfId="0" applyFont="1" applyFill="1" applyBorder="1" applyAlignment="1" applyProtection="1">
      <alignment horizontal="center" vertical="center"/>
    </xf>
    <xf numFmtId="0" fontId="5" fillId="2" borderId="37" xfId="0" applyFont="1" applyFill="1" applyBorder="1" applyAlignment="1" applyProtection="1">
      <alignment horizontal="center" vertical="center"/>
    </xf>
    <xf numFmtId="168" fontId="3" fillId="6" borderId="0" xfId="3" applyNumberFormat="1" applyFont="1" applyFill="1" applyBorder="1" applyAlignment="1" applyProtection="1">
      <alignment horizontal="center" vertical="center"/>
    </xf>
    <xf numFmtId="165" fontId="3" fillId="6" borderId="0" xfId="3" applyNumberFormat="1" applyFont="1" applyFill="1" applyBorder="1" applyAlignment="1" applyProtection="1">
      <alignment horizontal="center" vertical="center"/>
    </xf>
    <xf numFmtId="170" fontId="5" fillId="5" borderId="40" xfId="3" applyNumberFormat="1" applyFont="1" applyFill="1" applyBorder="1" applyAlignment="1" applyProtection="1">
      <alignment horizontal="center" vertical="center"/>
      <protection locked="0"/>
    </xf>
    <xf numFmtId="0" fontId="5" fillId="6" borderId="42" xfId="0" applyFont="1" applyFill="1" applyBorder="1" applyAlignment="1" applyProtection="1">
      <alignment horizontal="left" vertical="center"/>
    </xf>
    <xf numFmtId="0" fontId="5" fillId="6" borderId="43" xfId="0" applyFont="1" applyFill="1" applyBorder="1" applyAlignment="1" applyProtection="1">
      <alignment horizontal="left" vertical="center"/>
    </xf>
    <xf numFmtId="174" fontId="5" fillId="2" borderId="25" xfId="0" applyNumberFormat="1" applyFont="1" applyFill="1" applyBorder="1" applyAlignment="1" applyProtection="1">
      <alignment vertical="center"/>
    </xf>
    <xf numFmtId="171" fontId="5" fillId="2" borderId="34" xfId="3" applyNumberFormat="1" applyFont="1" applyFill="1" applyBorder="1" applyAlignment="1" applyProtection="1">
      <alignment horizontal="center" vertical="center"/>
    </xf>
    <xf numFmtId="0" fontId="5" fillId="0" borderId="6" xfId="0" applyFont="1" applyBorder="1" applyAlignment="1" applyProtection="1">
      <alignment vertical="center"/>
    </xf>
    <xf numFmtId="0" fontId="5" fillId="0" borderId="7" xfId="0" applyFont="1" applyBorder="1" applyAlignment="1" applyProtection="1">
      <alignment vertical="center"/>
    </xf>
    <xf numFmtId="0" fontId="5" fillId="0" borderId="8" xfId="0" applyFont="1" applyBorder="1" applyAlignment="1" applyProtection="1">
      <alignment vertical="center"/>
    </xf>
    <xf numFmtId="0" fontId="5" fillId="0" borderId="0" xfId="0" applyFont="1" applyAlignment="1" applyProtection="1"/>
    <xf numFmtId="179" fontId="5" fillId="4" borderId="6" xfId="3" applyNumberFormat="1" applyFont="1" applyFill="1" applyBorder="1" applyAlignment="1" applyProtection="1">
      <alignment horizontal="center" vertical="center"/>
      <protection locked="0"/>
    </xf>
    <xf numFmtId="179" fontId="5" fillId="4" borderId="10" xfId="3" applyNumberFormat="1" applyFont="1" applyFill="1" applyBorder="1" applyAlignment="1" applyProtection="1">
      <alignment horizontal="center" vertical="center"/>
      <protection locked="0"/>
    </xf>
    <xf numFmtId="0" fontId="5" fillId="4" borderId="1" xfId="0" applyFont="1" applyFill="1" applyBorder="1" applyAlignment="1">
      <alignment horizontal="center"/>
    </xf>
    <xf numFmtId="175" fontId="5" fillId="7" borderId="25" xfId="0" applyNumberFormat="1" applyFont="1" applyFill="1" applyBorder="1" applyAlignment="1" applyProtection="1">
      <alignment horizontal="center" vertical="center"/>
    </xf>
    <xf numFmtId="0" fontId="5" fillId="7" borderId="45" xfId="0" applyFont="1" applyFill="1" applyBorder="1" applyAlignment="1" applyProtection="1">
      <alignment horizontal="center"/>
    </xf>
    <xf numFmtId="175" fontId="5" fillId="7" borderId="6" xfId="0" applyNumberFormat="1" applyFont="1" applyFill="1" applyBorder="1" applyAlignment="1" applyProtection="1">
      <alignment horizontal="center" vertical="center"/>
    </xf>
    <xf numFmtId="0" fontId="5" fillId="7" borderId="29" xfId="0" applyFont="1" applyFill="1" applyBorder="1" applyAlignment="1" applyProtection="1">
      <alignment horizontal="center"/>
    </xf>
    <xf numFmtId="175" fontId="5" fillId="7" borderId="34" xfId="0" applyNumberFormat="1" applyFont="1" applyFill="1" applyBorder="1" applyAlignment="1" applyProtection="1">
      <alignment horizontal="center" vertical="center"/>
    </xf>
    <xf numFmtId="0" fontId="5" fillId="7" borderId="30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0" fillId="0" borderId="0" xfId="0" applyProtection="1">
      <protection locked="0"/>
    </xf>
    <xf numFmtId="0" fontId="5" fillId="0" borderId="0" xfId="0" applyFont="1" applyAlignment="1" applyProtection="1">
      <protection locked="0"/>
    </xf>
    <xf numFmtId="0" fontId="3" fillId="2" borderId="14" xfId="0" applyFont="1" applyFill="1" applyBorder="1" applyAlignment="1" applyProtection="1">
      <alignment horizontal="center" vertical="center"/>
    </xf>
    <xf numFmtId="0" fontId="3" fillId="2" borderId="5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12" fillId="9" borderId="67" xfId="0" applyFont="1" applyFill="1" applyBorder="1" applyAlignment="1" applyProtection="1">
      <alignment horizontal="center" vertical="center" wrapText="1"/>
      <protection locked="0"/>
    </xf>
    <xf numFmtId="0" fontId="12" fillId="9" borderId="53" xfId="0" applyFont="1" applyFill="1" applyBorder="1" applyAlignment="1" applyProtection="1">
      <alignment horizontal="center" vertical="center" wrapText="1"/>
      <protection locked="0"/>
    </xf>
    <xf numFmtId="0" fontId="12" fillId="9" borderId="68" xfId="0" applyFont="1" applyFill="1" applyBorder="1" applyAlignment="1" applyProtection="1">
      <alignment horizontal="center" vertical="center" wrapText="1"/>
      <protection locked="0"/>
    </xf>
    <xf numFmtId="0" fontId="12" fillId="10" borderId="67" xfId="0" applyFont="1" applyFill="1" applyBorder="1" applyAlignment="1" applyProtection="1">
      <alignment horizontal="center" vertical="center" wrapText="1"/>
      <protection locked="0"/>
    </xf>
    <xf numFmtId="0" fontId="12" fillId="10" borderId="53" xfId="0" applyFont="1" applyFill="1" applyBorder="1" applyAlignment="1" applyProtection="1">
      <alignment horizontal="center" vertical="center" wrapText="1"/>
      <protection locked="0"/>
    </xf>
    <xf numFmtId="0" fontId="12" fillId="10" borderId="68" xfId="0" applyFont="1" applyFill="1" applyBorder="1" applyAlignment="1" applyProtection="1">
      <alignment horizontal="center" vertical="center" wrapText="1"/>
      <protection locked="0"/>
    </xf>
    <xf numFmtId="0" fontId="12" fillId="0" borderId="67" xfId="0" applyFont="1" applyFill="1" applyBorder="1" applyAlignment="1" applyProtection="1">
      <alignment horizontal="center" vertical="center" wrapText="1"/>
      <protection locked="0"/>
    </xf>
    <xf numFmtId="0" fontId="12" fillId="0" borderId="69" xfId="0" applyFont="1" applyFill="1" applyBorder="1" applyAlignment="1" applyProtection="1">
      <alignment horizontal="center" vertical="center" wrapText="1"/>
      <protection locked="0"/>
    </xf>
    <xf numFmtId="0" fontId="11" fillId="11" borderId="37" xfId="0" applyFont="1" applyFill="1" applyBorder="1" applyAlignment="1" applyProtection="1">
      <alignment horizontal="center" vertical="center"/>
      <protection locked="0"/>
    </xf>
    <xf numFmtId="182" fontId="5" fillId="4" borderId="26" xfId="0" applyNumberFormat="1" applyFont="1" applyFill="1" applyBorder="1" applyAlignment="1" applyProtection="1">
      <alignment horizontal="center" vertical="center"/>
      <protection locked="0"/>
    </xf>
    <xf numFmtId="165" fontId="5" fillId="4" borderId="26" xfId="3" applyFont="1" applyFill="1" applyBorder="1" applyAlignment="1" applyProtection="1">
      <alignment vertical="center"/>
      <protection locked="0"/>
    </xf>
    <xf numFmtId="0" fontId="14" fillId="0" borderId="26" xfId="0" applyFont="1" applyBorder="1" applyAlignment="1" applyProtection="1">
      <alignment horizontal="center" vertical="center"/>
      <protection locked="0"/>
    </xf>
    <xf numFmtId="0" fontId="13" fillId="9" borderId="25" xfId="0" applyFont="1" applyFill="1" applyBorder="1" applyAlignment="1" applyProtection="1">
      <alignment horizontal="center" vertical="center" wrapText="1"/>
      <protection locked="0"/>
    </xf>
    <xf numFmtId="0" fontId="14" fillId="9" borderId="16" xfId="0" applyFont="1" applyFill="1" applyBorder="1" applyAlignment="1" applyProtection="1">
      <alignment horizontal="center" vertical="center" wrapText="1"/>
      <protection locked="0"/>
    </xf>
    <xf numFmtId="1" fontId="15" fillId="9" borderId="45" xfId="0" applyNumberFormat="1" applyFont="1" applyFill="1" applyBorder="1" applyAlignment="1">
      <alignment horizontal="center"/>
    </xf>
    <xf numFmtId="1" fontId="15" fillId="10" borderId="25" xfId="0" applyNumberFormat="1" applyFont="1" applyFill="1" applyBorder="1" applyAlignment="1">
      <alignment horizontal="center"/>
    </xf>
    <xf numFmtId="1" fontId="15" fillId="10" borderId="16" xfId="0" applyNumberFormat="1" applyFont="1" applyFill="1" applyBorder="1" applyAlignment="1">
      <alignment horizontal="center"/>
    </xf>
    <xf numFmtId="1" fontId="15" fillId="10" borderId="45" xfId="0" applyNumberFormat="1" applyFont="1" applyFill="1" applyBorder="1" applyAlignment="1">
      <alignment horizontal="center"/>
    </xf>
    <xf numFmtId="0" fontId="14" fillId="0" borderId="25" xfId="0" applyFont="1" applyFill="1" applyBorder="1" applyAlignment="1" applyProtection="1">
      <alignment horizontal="center" vertical="center" wrapText="1"/>
      <protection locked="0"/>
    </xf>
    <xf numFmtId="0" fontId="14" fillId="0" borderId="45" xfId="0" applyFont="1" applyFill="1" applyBorder="1" applyAlignment="1" applyProtection="1">
      <alignment horizontal="center" vertical="center" wrapText="1"/>
      <protection locked="0"/>
    </xf>
    <xf numFmtId="1" fontId="15" fillId="11" borderId="26" xfId="0" applyNumberFormat="1" applyFont="1" applyFill="1" applyBorder="1" applyAlignment="1" applyProtection="1">
      <alignment horizontal="center"/>
      <protection locked="0"/>
    </xf>
    <xf numFmtId="182" fontId="5" fillId="4" borderId="28" xfId="0" applyNumberFormat="1" applyFont="1" applyFill="1" applyBorder="1" applyAlignment="1" applyProtection="1">
      <alignment horizontal="center" vertical="center"/>
      <protection locked="0"/>
    </xf>
    <xf numFmtId="165" fontId="5" fillId="4" borderId="28" xfId="3" applyFont="1" applyFill="1" applyBorder="1" applyAlignment="1" applyProtection="1">
      <alignment vertical="center"/>
      <protection locked="0"/>
    </xf>
    <xf numFmtId="0" fontId="15" fillId="0" borderId="28" xfId="0" applyFont="1" applyBorder="1" applyAlignment="1">
      <alignment horizontal="center"/>
    </xf>
    <xf numFmtId="0" fontId="13" fillId="9" borderId="6" xfId="0" applyFont="1" applyFill="1" applyBorder="1" applyAlignment="1" applyProtection="1">
      <alignment horizontal="center" vertical="center" wrapText="1"/>
      <protection locked="0"/>
    </xf>
    <xf numFmtId="0" fontId="14" fillId="9" borderId="7" xfId="0" applyFont="1" applyFill="1" applyBorder="1" applyAlignment="1" applyProtection="1">
      <alignment horizontal="center" vertical="center" wrapText="1"/>
      <protection locked="0"/>
    </xf>
    <xf numFmtId="1" fontId="15" fillId="9" borderId="29" xfId="0" applyNumberFormat="1" applyFont="1" applyFill="1" applyBorder="1" applyAlignment="1">
      <alignment horizontal="center"/>
    </xf>
    <xf numFmtId="1" fontId="15" fillId="10" borderId="6" xfId="0" applyNumberFormat="1" applyFont="1" applyFill="1" applyBorder="1" applyAlignment="1">
      <alignment horizontal="center"/>
    </xf>
    <xf numFmtId="1" fontId="15" fillId="10" borderId="7" xfId="0" applyNumberFormat="1" applyFont="1" applyFill="1" applyBorder="1" applyAlignment="1">
      <alignment horizontal="center"/>
    </xf>
    <xf numFmtId="1" fontId="15" fillId="10" borderId="29" xfId="0" applyNumberFormat="1" applyFont="1" applyFill="1" applyBorder="1" applyAlignment="1">
      <alignment horizontal="center"/>
    </xf>
    <xf numFmtId="0" fontId="15" fillId="0" borderId="6" xfId="0" applyFont="1" applyFill="1" applyBorder="1" applyAlignment="1" applyProtection="1">
      <alignment horizontal="center" vertical="center"/>
      <protection locked="0"/>
    </xf>
    <xf numFmtId="0" fontId="15" fillId="0" borderId="29" xfId="0" applyFont="1" applyFill="1" applyBorder="1" applyAlignment="1" applyProtection="1">
      <alignment horizontal="center" vertical="center"/>
      <protection locked="0"/>
    </xf>
    <xf numFmtId="1" fontId="15" fillId="11" borderId="28" xfId="0" applyNumberFormat="1" applyFont="1" applyFill="1" applyBorder="1" applyAlignment="1" applyProtection="1">
      <alignment horizontal="center"/>
      <protection locked="0"/>
    </xf>
    <xf numFmtId="0" fontId="14" fillId="0" borderId="28" xfId="0" applyFont="1" applyBorder="1" applyAlignment="1" applyProtection="1">
      <alignment horizontal="center" vertical="center"/>
      <protection locked="0"/>
    </xf>
    <xf numFmtId="0" fontId="14" fillId="0" borderId="6" xfId="0" applyFont="1" applyBorder="1" applyAlignment="1" applyProtection="1">
      <alignment horizontal="left" vertical="center" indent="1"/>
      <protection locked="0"/>
    </xf>
    <xf numFmtId="0" fontId="14" fillId="0" borderId="7" xfId="0" applyFont="1" applyBorder="1" applyAlignment="1" applyProtection="1">
      <alignment horizontal="left" vertical="center" indent="1"/>
      <protection locked="0"/>
    </xf>
    <xf numFmtId="0" fontId="14" fillId="0" borderId="29" xfId="0" applyFont="1" applyBorder="1" applyAlignment="1" applyProtection="1">
      <alignment horizontal="left" vertical="center" indent="1"/>
      <protection locked="0"/>
    </xf>
    <xf numFmtId="182" fontId="5" fillId="4" borderId="31" xfId="0" applyNumberFormat="1" applyFont="1" applyFill="1" applyBorder="1" applyAlignment="1" applyProtection="1">
      <alignment horizontal="center" vertical="center"/>
      <protection locked="0"/>
    </xf>
    <xf numFmtId="165" fontId="5" fillId="4" borderId="31" xfId="3" applyFont="1" applyFill="1" applyBorder="1" applyAlignment="1" applyProtection="1">
      <alignment vertical="center"/>
      <protection locked="0"/>
    </xf>
    <xf numFmtId="0" fontId="0" fillId="0" borderId="0" xfId="0" applyFill="1"/>
    <xf numFmtId="165" fontId="5" fillId="4" borderId="1" xfId="0" applyNumberFormat="1" applyFont="1" applyFill="1" applyBorder="1" applyAlignment="1">
      <alignment vertical="center"/>
    </xf>
    <xf numFmtId="0" fontId="14" fillId="0" borderId="6" xfId="0" applyFont="1" applyFill="1" applyBorder="1" applyAlignment="1" applyProtection="1">
      <alignment horizontal="center" vertical="center"/>
      <protection locked="0"/>
    </xf>
    <xf numFmtId="0" fontId="15" fillId="9" borderId="7" xfId="0" applyFont="1" applyFill="1" applyBorder="1" applyAlignment="1" applyProtection="1">
      <alignment horizontal="center" vertical="center"/>
      <protection locked="0"/>
    </xf>
    <xf numFmtId="0" fontId="15" fillId="10" borderId="29" xfId="0" applyFont="1" applyFill="1" applyBorder="1"/>
    <xf numFmtId="0" fontId="12" fillId="9" borderId="6" xfId="0" applyFont="1" applyFill="1" applyBorder="1" applyAlignment="1" applyProtection="1">
      <alignment horizontal="center" vertical="center" wrapText="1"/>
      <protection locked="0"/>
    </xf>
    <xf numFmtId="0" fontId="15" fillId="9" borderId="7" xfId="0" applyFont="1" applyFill="1" applyBorder="1" applyAlignment="1" applyProtection="1">
      <alignment vertical="center"/>
      <protection locked="0"/>
    </xf>
    <xf numFmtId="0" fontId="0" fillId="0" borderId="16" xfId="0" applyBorder="1" applyAlignment="1">
      <alignment horizontal="center"/>
    </xf>
    <xf numFmtId="183" fontId="0" fillId="9" borderId="5" xfId="0" applyNumberFormat="1" applyFill="1" applyBorder="1" applyAlignment="1">
      <alignment horizontal="right" vertical="center" indent="1"/>
    </xf>
    <xf numFmtId="183" fontId="0" fillId="9" borderId="9" xfId="0" applyNumberFormat="1" applyFill="1" applyBorder="1" applyAlignment="1">
      <alignment horizontal="right" vertical="center" indent="1"/>
    </xf>
    <xf numFmtId="0" fontId="14" fillId="9" borderId="7" xfId="0" applyFont="1" applyFill="1" applyBorder="1" applyAlignment="1" applyProtection="1">
      <alignment vertical="center"/>
      <protection locked="0"/>
    </xf>
    <xf numFmtId="0" fontId="14" fillId="0" borderId="6" xfId="0" applyFont="1" applyFill="1" applyBorder="1" applyAlignment="1" applyProtection="1">
      <alignment vertical="center"/>
      <protection locked="0"/>
    </xf>
    <xf numFmtId="0" fontId="14" fillId="0" borderId="34" xfId="0" applyFont="1" applyBorder="1" applyAlignment="1" applyProtection="1">
      <alignment horizontal="left" vertical="center" indent="1"/>
      <protection locked="0"/>
    </xf>
    <xf numFmtId="0" fontId="14" fillId="0" borderId="18" xfId="0" applyFont="1" applyBorder="1" applyAlignment="1" applyProtection="1">
      <alignment horizontal="left" vertical="center" indent="1"/>
      <protection locked="0"/>
    </xf>
    <xf numFmtId="0" fontId="14" fillId="0" borderId="30" xfId="0" applyFont="1" applyBorder="1" applyAlignment="1" applyProtection="1">
      <alignment horizontal="left" vertical="center" indent="1"/>
      <protection locked="0"/>
    </xf>
    <xf numFmtId="0" fontId="14" fillId="0" borderId="31" xfId="0" applyFont="1" applyBorder="1" applyAlignment="1" applyProtection="1">
      <alignment horizontal="center" vertical="center"/>
      <protection locked="0"/>
    </xf>
    <xf numFmtId="0" fontId="12" fillId="9" borderId="34" xfId="0" applyFont="1" applyFill="1" applyBorder="1" applyAlignment="1" applyProtection="1">
      <alignment horizontal="center" vertical="center" wrapText="1"/>
      <protection locked="0"/>
    </xf>
    <xf numFmtId="0" fontId="14" fillId="9" borderId="18" xfId="0" applyFont="1" applyFill="1" applyBorder="1" applyAlignment="1" applyProtection="1">
      <alignment vertical="center"/>
      <protection locked="0"/>
    </xf>
    <xf numFmtId="1" fontId="15" fillId="9" borderId="30" xfId="0" applyNumberFormat="1" applyFont="1" applyFill="1" applyBorder="1" applyAlignment="1">
      <alignment horizontal="center"/>
    </xf>
    <xf numFmtId="1" fontId="15" fillId="10" borderId="34" xfId="0" applyNumberFormat="1" applyFont="1" applyFill="1" applyBorder="1" applyAlignment="1">
      <alignment horizontal="center"/>
    </xf>
    <xf numFmtId="1" fontId="15" fillId="10" borderId="18" xfId="0" applyNumberFormat="1" applyFont="1" applyFill="1" applyBorder="1" applyAlignment="1">
      <alignment horizontal="center"/>
    </xf>
    <xf numFmtId="0" fontId="15" fillId="10" borderId="30" xfId="0" applyFont="1" applyFill="1" applyBorder="1"/>
    <xf numFmtId="0" fontId="14" fillId="0" borderId="34" xfId="0" applyFont="1" applyFill="1" applyBorder="1" applyAlignment="1" applyProtection="1">
      <alignment vertical="center"/>
      <protection locked="0"/>
    </xf>
    <xf numFmtId="0" fontId="15" fillId="0" borderId="30" xfId="0" applyFont="1" applyFill="1" applyBorder="1" applyAlignment="1" applyProtection="1">
      <alignment horizontal="center" vertical="center"/>
      <protection locked="0"/>
    </xf>
    <xf numFmtId="1" fontId="15" fillId="11" borderId="31" xfId="0" applyNumberFormat="1" applyFont="1" applyFill="1" applyBorder="1" applyAlignment="1" applyProtection="1">
      <alignment horizontal="center"/>
      <protection locked="0"/>
    </xf>
    <xf numFmtId="0" fontId="14" fillId="0" borderId="56" xfId="0" applyFont="1" applyBorder="1" applyAlignment="1" applyProtection="1">
      <alignment horizontal="left" vertical="center" indent="1"/>
      <protection locked="0"/>
    </xf>
    <xf numFmtId="0" fontId="14" fillId="0" borderId="57" xfId="0" applyFont="1" applyBorder="1" applyAlignment="1" applyProtection="1">
      <alignment horizontal="left" vertical="center" indent="1"/>
      <protection locked="0"/>
    </xf>
    <xf numFmtId="0" fontId="14" fillId="0" borderId="17" xfId="0" applyFont="1" applyBorder="1" applyAlignment="1" applyProtection="1">
      <alignment horizontal="left" vertical="center" indent="1"/>
      <protection locked="0"/>
    </xf>
    <xf numFmtId="0" fontId="14" fillId="0" borderId="26" xfId="0" applyFont="1" applyFill="1" applyBorder="1" applyAlignment="1" applyProtection="1">
      <alignment horizontal="right" vertical="center" indent="1"/>
      <protection locked="0"/>
    </xf>
    <xf numFmtId="0" fontId="14" fillId="0" borderId="20" xfId="0" applyFont="1" applyFill="1" applyBorder="1" applyAlignment="1" applyProtection="1">
      <alignment horizontal="right" vertical="center" indent="1"/>
      <protection locked="0"/>
    </xf>
    <xf numFmtId="0" fontId="14" fillId="0" borderId="16" xfId="0" applyFont="1" applyFill="1" applyBorder="1" applyAlignment="1" applyProtection="1">
      <alignment horizontal="right" vertical="center" indent="1"/>
      <protection locked="0"/>
    </xf>
    <xf numFmtId="0" fontId="15" fillId="0" borderId="45" xfId="0" applyFont="1" applyBorder="1" applyAlignment="1" applyProtection="1">
      <alignment horizontal="right" vertical="center" indent="1"/>
      <protection locked="0"/>
    </xf>
    <xf numFmtId="0" fontId="14" fillId="12" borderId="47" xfId="0" applyFont="1" applyFill="1" applyBorder="1" applyAlignment="1" applyProtection="1">
      <alignment horizontal="left" vertical="center" indent="1"/>
      <protection locked="0"/>
    </xf>
    <xf numFmtId="0" fontId="14" fillId="12" borderId="48" xfId="0" applyFont="1" applyFill="1" applyBorder="1" applyAlignment="1" applyProtection="1">
      <alignment horizontal="left" vertical="center" indent="1"/>
      <protection locked="0"/>
    </xf>
    <xf numFmtId="0" fontId="14" fillId="12" borderId="9" xfId="0" applyFont="1" applyFill="1" applyBorder="1" applyAlignment="1" applyProtection="1">
      <alignment horizontal="left" vertical="center" indent="1"/>
      <protection locked="0"/>
    </xf>
    <xf numFmtId="0" fontId="14" fillId="0" borderId="28" xfId="0" applyFont="1" applyFill="1" applyBorder="1" applyAlignment="1" applyProtection="1">
      <alignment horizontal="right" vertical="center" indent="1"/>
      <protection locked="0"/>
    </xf>
    <xf numFmtId="0" fontId="0" fillId="0" borderId="21" xfId="0" applyBorder="1" applyAlignment="1" applyProtection="1">
      <alignment horizontal="right" indent="1"/>
      <protection locked="0"/>
    </xf>
    <xf numFmtId="0" fontId="0" fillId="0" borderId="7" xfId="0" applyBorder="1" applyAlignment="1" applyProtection="1">
      <alignment horizontal="right" indent="1"/>
      <protection locked="0"/>
    </xf>
    <xf numFmtId="0" fontId="14" fillId="0" borderId="7" xfId="0" applyFont="1" applyFill="1" applyBorder="1" applyAlignment="1" applyProtection="1">
      <alignment horizontal="right" vertical="center" indent="1"/>
      <protection locked="0"/>
    </xf>
    <xf numFmtId="0" fontId="0" fillId="0" borderId="29" xfId="0" applyBorder="1" applyAlignment="1" applyProtection="1">
      <alignment horizontal="right" indent="1"/>
      <protection locked="0"/>
    </xf>
    <xf numFmtId="0" fontId="14" fillId="0" borderId="47" xfId="0" applyFont="1" applyBorder="1" applyAlignment="1" applyProtection="1">
      <alignment horizontal="left" vertical="center" indent="1"/>
      <protection locked="0"/>
    </xf>
    <xf numFmtId="0" fontId="14" fillId="0" borderId="48" xfId="0" applyFont="1" applyBorder="1" applyAlignment="1" applyProtection="1">
      <alignment horizontal="left" vertical="center" indent="1"/>
      <protection locked="0"/>
    </xf>
    <xf numFmtId="0" fontId="14" fillId="0" borderId="9" xfId="0" applyFont="1" applyBorder="1" applyAlignment="1" applyProtection="1">
      <alignment horizontal="left" vertical="center" indent="1"/>
      <protection locked="0"/>
    </xf>
    <xf numFmtId="0" fontId="14" fillId="0" borderId="21" xfId="0" applyFont="1" applyFill="1" applyBorder="1" applyAlignment="1" applyProtection="1">
      <alignment horizontal="right" vertical="center" indent="1"/>
      <protection locked="0"/>
    </xf>
    <xf numFmtId="0" fontId="15" fillId="0" borderId="29" xfId="0" applyFont="1" applyBorder="1" applyAlignment="1" applyProtection="1">
      <alignment horizontal="right" vertical="center" indent="1"/>
      <protection locked="0"/>
    </xf>
    <xf numFmtId="0" fontId="14" fillId="13" borderId="47" xfId="0" applyFont="1" applyFill="1" applyBorder="1" applyAlignment="1" applyProtection="1">
      <alignment horizontal="left" vertical="center" indent="1"/>
      <protection locked="0"/>
    </xf>
    <xf numFmtId="0" fontId="14" fillId="13" borderId="48" xfId="0" applyFont="1" applyFill="1" applyBorder="1" applyAlignment="1" applyProtection="1">
      <alignment horizontal="left" vertical="center" indent="1"/>
      <protection locked="0"/>
    </xf>
    <xf numFmtId="0" fontId="14" fillId="13" borderId="9" xfId="0" applyFont="1" applyFill="1" applyBorder="1" applyAlignment="1" applyProtection="1">
      <alignment horizontal="left" vertical="center" indent="1"/>
      <protection locked="0"/>
    </xf>
    <xf numFmtId="0" fontId="14" fillId="13" borderId="28" xfId="0" applyFont="1" applyFill="1" applyBorder="1" applyAlignment="1" applyProtection="1">
      <alignment horizontal="right" vertical="center" indent="1"/>
      <protection locked="0"/>
    </xf>
    <xf numFmtId="0" fontId="14" fillId="13" borderId="21" xfId="0" applyFont="1" applyFill="1" applyBorder="1" applyAlignment="1" applyProtection="1">
      <alignment horizontal="right" vertical="center" indent="1"/>
      <protection locked="0"/>
    </xf>
    <xf numFmtId="0" fontId="15" fillId="13" borderId="7" xfId="0" applyFont="1" applyFill="1" applyBorder="1" applyAlignment="1" applyProtection="1">
      <alignment horizontal="right" vertical="center" indent="1"/>
      <protection locked="0"/>
    </xf>
    <xf numFmtId="0" fontId="14" fillId="13" borderId="7" xfId="0" applyFont="1" applyFill="1" applyBorder="1" applyAlignment="1" applyProtection="1">
      <alignment horizontal="right" vertical="center" indent="1"/>
      <protection locked="0"/>
    </xf>
    <xf numFmtId="0" fontId="15" fillId="13" borderId="29" xfId="0" applyFont="1" applyFill="1" applyBorder="1" applyAlignment="1" applyProtection="1">
      <alignment horizontal="right" vertical="center" indent="1"/>
      <protection locked="0"/>
    </xf>
    <xf numFmtId="0" fontId="15" fillId="13" borderId="28" xfId="0" applyFont="1" applyFill="1" applyBorder="1" applyAlignment="1" applyProtection="1">
      <alignment horizontal="right" vertical="center" indent="1"/>
      <protection locked="0"/>
    </xf>
    <xf numFmtId="0" fontId="15" fillId="13" borderId="21" xfId="0" applyFont="1" applyFill="1" applyBorder="1" applyAlignment="1" applyProtection="1">
      <alignment horizontal="right" vertical="center" indent="1"/>
      <protection locked="0"/>
    </xf>
    <xf numFmtId="0" fontId="15" fillId="0" borderId="7" xfId="0" applyFont="1" applyFill="1" applyBorder="1" applyAlignment="1" applyProtection="1">
      <alignment horizontal="right" vertical="center" indent="1"/>
      <protection locked="0"/>
    </xf>
    <xf numFmtId="183" fontId="0" fillId="9" borderId="13" xfId="0" applyNumberFormat="1" applyFill="1" applyBorder="1" applyAlignment="1">
      <alignment horizontal="right" vertical="center" indent="1"/>
    </xf>
    <xf numFmtId="0" fontId="11" fillId="0" borderId="1" xfId="0" applyFont="1" applyBorder="1" applyAlignment="1">
      <alignment horizontal="center"/>
    </xf>
    <xf numFmtId="182" fontId="0" fillId="0" borderId="56" xfId="0" applyNumberFormat="1" applyBorder="1"/>
    <xf numFmtId="4" fontId="0" fillId="0" borderId="26" xfId="0" applyNumberFormat="1" applyBorder="1"/>
    <xf numFmtId="0" fontId="14" fillId="0" borderId="61" xfId="0" applyFont="1" applyBorder="1" applyAlignment="1" applyProtection="1">
      <alignment horizontal="left" vertical="center" indent="1"/>
      <protection locked="0"/>
    </xf>
    <xf numFmtId="0" fontId="14" fillId="0" borderId="49" xfId="0" applyFont="1" applyBorder="1" applyAlignment="1" applyProtection="1">
      <alignment horizontal="left" vertical="center" indent="1"/>
      <protection locked="0"/>
    </xf>
    <xf numFmtId="0" fontId="14" fillId="0" borderId="13" xfId="0" applyFont="1" applyBorder="1" applyAlignment="1" applyProtection="1">
      <alignment horizontal="left" vertical="center" indent="1"/>
      <protection locked="0"/>
    </xf>
    <xf numFmtId="0" fontId="14" fillId="0" borderId="31" xfId="0" applyFont="1" applyFill="1" applyBorder="1" applyAlignment="1" applyProtection="1">
      <alignment horizontal="right" vertical="center" indent="1"/>
      <protection locked="0"/>
    </xf>
    <xf numFmtId="0" fontId="14" fillId="0" borderId="22" xfId="0" applyFont="1" applyFill="1" applyBorder="1" applyAlignment="1" applyProtection="1">
      <alignment horizontal="right" vertical="center" indent="1"/>
      <protection locked="0"/>
    </xf>
    <xf numFmtId="0" fontId="14" fillId="0" borderId="18" xfId="0" applyFont="1" applyFill="1" applyBorder="1" applyAlignment="1" applyProtection="1">
      <alignment horizontal="right" vertical="center" indent="1"/>
      <protection locked="0"/>
    </xf>
    <xf numFmtId="0" fontId="15" fillId="0" borderId="30" xfId="0" applyFont="1" applyBorder="1" applyAlignment="1" applyProtection="1">
      <alignment horizontal="right" vertical="center" indent="1"/>
      <protection locked="0"/>
    </xf>
    <xf numFmtId="182" fontId="1" fillId="0" borderId="47" xfId="0" applyNumberFormat="1" applyFont="1" applyBorder="1" applyAlignment="1">
      <alignment horizontal="center"/>
    </xf>
    <xf numFmtId="4" fontId="1" fillId="0" borderId="28" xfId="0" applyNumberFormat="1" applyFont="1" applyBorder="1" applyAlignment="1">
      <alignment horizontal="center"/>
    </xf>
    <xf numFmtId="182" fontId="0" fillId="0" borderId="4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0" fontId="11" fillId="0" borderId="59" xfId="0" applyFont="1" applyBorder="1" applyAlignment="1" applyProtection="1">
      <alignment horizontal="center" vertical="center"/>
      <protection locked="0"/>
    </xf>
    <xf numFmtId="0" fontId="11" fillId="0" borderId="44" xfId="0" applyFont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1" fillId="0" borderId="35" xfId="0" applyFont="1" applyFill="1" applyBorder="1" applyAlignment="1" applyProtection="1">
      <alignment horizontal="left" vertical="center" indent="1"/>
      <protection locked="0"/>
    </xf>
    <xf numFmtId="0" fontId="1" fillId="0" borderId="57" xfId="0" applyFont="1" applyFill="1" applyBorder="1" applyAlignment="1" applyProtection="1">
      <alignment horizontal="left" vertical="center" indent="1"/>
      <protection locked="0"/>
    </xf>
    <xf numFmtId="0" fontId="1" fillId="0" borderId="17" xfId="0" applyFont="1" applyFill="1" applyBorder="1" applyAlignment="1" applyProtection="1">
      <alignment horizontal="left" vertical="center" indent="1"/>
      <protection locked="0"/>
    </xf>
    <xf numFmtId="0" fontId="0" fillId="0" borderId="60" xfId="0" applyFill="1" applyBorder="1" applyAlignment="1" applyProtection="1">
      <alignment horizontal="center" vertical="center"/>
      <protection locked="0"/>
    </xf>
    <xf numFmtId="0" fontId="0" fillId="0" borderId="25" xfId="0" applyFill="1" applyBorder="1" applyAlignment="1" applyProtection="1">
      <alignment horizontal="center" vertical="center"/>
      <protection locked="0"/>
    </xf>
    <xf numFmtId="182" fontId="0" fillId="0" borderId="45" xfId="0" applyNumberFormat="1" applyFill="1" applyBorder="1" applyAlignment="1" applyProtection="1">
      <alignment horizontal="center" vertical="center"/>
      <protection locked="0"/>
    </xf>
    <xf numFmtId="0" fontId="1" fillId="0" borderId="6" xfId="0" applyFont="1" applyFill="1" applyBorder="1" applyAlignment="1" applyProtection="1">
      <alignment horizontal="center" vertical="center"/>
      <protection locked="0"/>
    </xf>
    <xf numFmtId="0" fontId="1" fillId="0" borderId="8" xfId="0" applyFont="1" applyFill="1" applyBorder="1" applyAlignment="1" applyProtection="1">
      <alignment horizontal="left" vertical="center" indent="1"/>
      <protection locked="0"/>
    </xf>
    <xf numFmtId="0" fontId="1" fillId="0" borderId="48" xfId="0" applyFont="1" applyFill="1" applyBorder="1" applyAlignment="1" applyProtection="1">
      <alignment horizontal="left" vertical="center" indent="1"/>
      <protection locked="0"/>
    </xf>
    <xf numFmtId="0" fontId="1" fillId="0" borderId="9" xfId="0" applyFont="1" applyFill="1" applyBorder="1" applyAlignment="1" applyProtection="1">
      <alignment horizontal="left" vertical="center" indent="1"/>
      <protection locked="0"/>
    </xf>
    <xf numFmtId="0" fontId="1" fillId="0" borderId="47" xfId="0" applyFont="1" applyFill="1" applyBorder="1" applyAlignment="1" applyProtection="1">
      <alignment horizontal="center" vertical="center"/>
      <protection locked="0"/>
    </xf>
    <xf numFmtId="182" fontId="0" fillId="0" borderId="29" xfId="0" applyNumberFormat="1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0" fillId="0" borderId="8" xfId="0" applyFill="1" applyBorder="1" applyAlignment="1" applyProtection="1">
      <alignment horizontal="left" vertical="center" indent="1"/>
      <protection locked="0"/>
    </xf>
    <xf numFmtId="0" fontId="0" fillId="0" borderId="48" xfId="0" applyFill="1" applyBorder="1" applyAlignment="1" applyProtection="1">
      <alignment horizontal="left" vertical="center" indent="1"/>
      <protection locked="0"/>
    </xf>
    <xf numFmtId="0" fontId="0" fillId="0" borderId="9" xfId="0" applyFill="1" applyBorder="1" applyAlignment="1" applyProtection="1">
      <alignment horizontal="left" vertical="center" indent="1"/>
      <protection locked="0"/>
    </xf>
    <xf numFmtId="0" fontId="0" fillId="0" borderId="47" xfId="0" applyFill="1" applyBorder="1" applyAlignment="1" applyProtection="1">
      <alignment horizontal="center" vertical="center"/>
      <protection locked="0"/>
    </xf>
    <xf numFmtId="0" fontId="1" fillId="0" borderId="34" xfId="0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left" vertical="center" indent="1"/>
      <protection locked="0"/>
    </xf>
    <xf numFmtId="0" fontId="1" fillId="0" borderId="49" xfId="0" applyFont="1" applyFill="1" applyBorder="1" applyAlignment="1" applyProtection="1">
      <alignment horizontal="left" vertical="center" indent="1"/>
      <protection locked="0"/>
    </xf>
    <xf numFmtId="0" fontId="1" fillId="0" borderId="13" xfId="0" applyFont="1" applyFill="1" applyBorder="1" applyAlignment="1" applyProtection="1">
      <alignment horizontal="left" vertical="center" indent="1"/>
      <protection locked="0"/>
    </xf>
    <xf numFmtId="0" fontId="0" fillId="0" borderId="61" xfId="0" applyFill="1" applyBorder="1" applyAlignment="1" applyProtection="1">
      <alignment horizontal="center" vertical="center"/>
      <protection locked="0"/>
    </xf>
    <xf numFmtId="0" fontId="0" fillId="0" borderId="34" xfId="0" applyFill="1" applyBorder="1" applyAlignment="1" applyProtection="1">
      <alignment horizontal="center" vertical="center"/>
      <protection locked="0"/>
    </xf>
    <xf numFmtId="182" fontId="0" fillId="0" borderId="30" xfId="0" applyNumberFormat="1" applyFill="1" applyBorder="1" applyAlignment="1" applyProtection="1">
      <alignment horizontal="center" vertical="center"/>
      <protection locked="0"/>
    </xf>
    <xf numFmtId="182" fontId="0" fillId="0" borderId="47" xfId="0" applyNumberFormat="1" applyBorder="1"/>
    <xf numFmtId="4" fontId="0" fillId="0" borderId="28" xfId="0" applyNumberFormat="1" applyBorder="1"/>
    <xf numFmtId="182" fontId="0" fillId="0" borderId="61" xfId="0" applyNumberFormat="1" applyBorder="1"/>
    <xf numFmtId="4" fontId="0" fillId="0" borderId="31" xfId="0" applyNumberFormat="1" applyBorder="1"/>
    <xf numFmtId="0" fontId="16" fillId="0" borderId="0" xfId="0" applyFont="1"/>
    <xf numFmtId="182" fontId="5" fillId="4" borderId="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/>
    </xf>
    <xf numFmtId="0" fontId="0" fillId="0" borderId="2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4" fontId="0" fillId="0" borderId="35" xfId="0" applyNumberFormat="1" applyBorder="1" applyAlignment="1">
      <alignment horizontal="right" vertical="center" indent="1"/>
    </xf>
    <xf numFmtId="4" fontId="0" fillId="0" borderId="8" xfId="0" applyNumberFormat="1" applyBorder="1" applyAlignment="1">
      <alignment horizontal="right" vertical="center" indent="1"/>
    </xf>
    <xf numFmtId="4" fontId="0" fillId="0" borderId="12" xfId="0" applyNumberFormat="1" applyBorder="1" applyAlignment="1">
      <alignment horizontal="right" vertical="center" indent="1"/>
    </xf>
    <xf numFmtId="4" fontId="0" fillId="0" borderId="26" xfId="0" applyNumberFormat="1" applyBorder="1" applyAlignment="1">
      <alignment horizontal="right" vertical="center" indent="1"/>
    </xf>
    <xf numFmtId="4" fontId="0" fillId="0" borderId="28" xfId="0" applyNumberFormat="1" applyBorder="1" applyAlignment="1">
      <alignment horizontal="right" vertical="center" indent="1"/>
    </xf>
    <xf numFmtId="4" fontId="0" fillId="0" borderId="31" xfId="0" applyNumberFormat="1" applyBorder="1" applyAlignment="1">
      <alignment horizontal="right" vertical="center" indent="1"/>
    </xf>
    <xf numFmtId="165" fontId="5" fillId="2" borderId="26" xfId="3" applyFont="1" applyFill="1" applyBorder="1" applyAlignment="1" applyProtection="1">
      <alignment horizontal="right" vertical="center"/>
    </xf>
    <xf numFmtId="170" fontId="5" fillId="5" borderId="73" xfId="3" applyNumberFormat="1" applyFont="1" applyFill="1" applyBorder="1" applyAlignment="1" applyProtection="1">
      <alignment horizontal="center" vertical="center"/>
      <protection locked="0"/>
    </xf>
    <xf numFmtId="9" fontId="5" fillId="2" borderId="4" xfId="3" applyNumberFormat="1" applyFont="1" applyFill="1" applyBorder="1" applyAlignment="1" applyProtection="1">
      <alignment horizontal="center" vertical="center"/>
    </xf>
    <xf numFmtId="165" fontId="5" fillId="2" borderId="28" xfId="3" applyFont="1" applyFill="1" applyBorder="1" applyAlignment="1" applyProtection="1">
      <alignment horizontal="right" vertical="center"/>
    </xf>
    <xf numFmtId="170" fontId="5" fillId="5" borderId="48" xfId="3" applyNumberFormat="1" applyFont="1" applyFill="1" applyBorder="1" applyAlignment="1" applyProtection="1">
      <alignment horizontal="center" vertical="center"/>
      <protection locked="0"/>
    </xf>
    <xf numFmtId="170" fontId="5" fillId="5" borderId="43" xfId="3" applyNumberFormat="1" applyFont="1" applyFill="1" applyBorder="1" applyAlignment="1" applyProtection="1">
      <alignment horizontal="center" vertical="center"/>
      <protection locked="0"/>
    </xf>
    <xf numFmtId="165" fontId="5" fillId="2" borderId="31" xfId="3" applyFont="1" applyFill="1" applyBorder="1" applyAlignment="1" applyProtection="1">
      <alignment horizontal="right" vertical="center"/>
    </xf>
    <xf numFmtId="170" fontId="5" fillId="5" borderId="49" xfId="3" applyNumberFormat="1" applyFont="1" applyFill="1" applyBorder="1" applyAlignment="1" applyProtection="1">
      <alignment horizontal="center" vertical="center"/>
      <protection locked="0"/>
    </xf>
    <xf numFmtId="165" fontId="3" fillId="2" borderId="1" xfId="3" applyFont="1" applyFill="1" applyBorder="1" applyAlignment="1" applyProtection="1">
      <alignment horizontal="right" vertical="center"/>
    </xf>
    <xf numFmtId="178" fontId="4" fillId="2" borderId="1" xfId="3" applyNumberFormat="1" applyFont="1" applyFill="1" applyBorder="1" applyAlignment="1" applyProtection="1">
      <alignment horizontal="right" vertical="center"/>
    </xf>
    <xf numFmtId="177" fontId="5" fillId="4" borderId="2" xfId="3" applyNumberFormat="1" applyFont="1" applyFill="1" applyBorder="1" applyAlignment="1" applyProtection="1">
      <alignment horizontal="center" vertical="center"/>
      <protection locked="0"/>
    </xf>
    <xf numFmtId="169" fontId="5" fillId="5" borderId="4" xfId="3" applyNumberFormat="1" applyFont="1" applyFill="1" applyBorder="1" applyAlignment="1" applyProtection="1">
      <alignment horizontal="center" vertical="center"/>
      <protection locked="0"/>
    </xf>
    <xf numFmtId="165" fontId="5" fillId="2" borderId="70" xfId="3" applyFont="1" applyFill="1" applyBorder="1" applyAlignment="1" applyProtection="1">
      <alignment horizontal="right" vertical="center"/>
    </xf>
    <xf numFmtId="169" fontId="5" fillId="5" borderId="33" xfId="3" applyNumberFormat="1" applyFont="1" applyFill="1" applyBorder="1" applyAlignment="1" applyProtection="1">
      <alignment horizontal="center" vertical="center"/>
      <protection locked="0"/>
    </xf>
    <xf numFmtId="169" fontId="5" fillId="5" borderId="8" xfId="3" applyNumberFormat="1" applyFont="1" applyFill="1" applyBorder="1" applyAlignment="1" applyProtection="1">
      <alignment horizontal="center" vertical="center"/>
      <protection locked="0"/>
    </xf>
    <xf numFmtId="169" fontId="5" fillId="5" borderId="21" xfId="3" applyNumberFormat="1" applyFont="1" applyFill="1" applyBorder="1" applyAlignment="1" applyProtection="1">
      <alignment horizontal="center" vertical="center"/>
      <protection locked="0"/>
    </xf>
    <xf numFmtId="9" fontId="5" fillId="2" borderId="8" xfId="3" applyNumberFormat="1" applyFont="1" applyFill="1" applyBorder="1" applyAlignment="1" applyProtection="1">
      <alignment horizontal="center" vertical="center"/>
    </xf>
    <xf numFmtId="169" fontId="5" fillId="5" borderId="12" xfId="3" applyNumberFormat="1" applyFont="1" applyFill="1" applyBorder="1" applyAlignment="1" applyProtection="1">
      <alignment horizontal="center" vertical="center"/>
      <protection locked="0"/>
    </xf>
    <xf numFmtId="169" fontId="5" fillId="5" borderId="22" xfId="3" applyNumberFormat="1" applyFont="1" applyFill="1" applyBorder="1" applyAlignment="1" applyProtection="1">
      <alignment horizontal="center" vertical="center"/>
      <protection locked="0"/>
    </xf>
    <xf numFmtId="9" fontId="5" fillId="2" borderId="12" xfId="3" applyNumberFormat="1" applyFont="1" applyFill="1" applyBorder="1" applyAlignment="1" applyProtection="1">
      <alignment horizontal="center" vertical="center"/>
    </xf>
    <xf numFmtId="172" fontId="5" fillId="5" borderId="57" xfId="3" applyNumberFormat="1" applyFont="1" applyFill="1" applyBorder="1" applyAlignment="1" applyProtection="1">
      <alignment horizontal="center" vertical="center"/>
      <protection locked="0"/>
    </xf>
    <xf numFmtId="172" fontId="5" fillId="2" borderId="20" xfId="3" applyNumberFormat="1" applyFont="1" applyFill="1" applyBorder="1" applyAlignment="1" applyProtection="1">
      <alignment horizontal="center" vertical="center"/>
    </xf>
    <xf numFmtId="9" fontId="5" fillId="5" borderId="57" xfId="4" applyFont="1" applyFill="1" applyBorder="1" applyAlignment="1" applyProtection="1">
      <alignment horizontal="center" vertical="center"/>
      <protection locked="0"/>
    </xf>
    <xf numFmtId="172" fontId="5" fillId="5" borderId="48" xfId="3" applyNumberFormat="1" applyFont="1" applyFill="1" applyBorder="1" applyAlignment="1" applyProtection="1">
      <alignment horizontal="center" vertical="center"/>
      <protection locked="0"/>
    </xf>
    <xf numFmtId="172" fontId="5" fillId="2" borderId="21" xfId="3" applyNumberFormat="1" applyFont="1" applyFill="1" applyBorder="1" applyAlignment="1" applyProtection="1">
      <alignment horizontal="center" vertical="center"/>
    </xf>
    <xf numFmtId="9" fontId="5" fillId="5" borderId="48" xfId="4" applyFont="1" applyFill="1" applyBorder="1" applyAlignment="1" applyProtection="1">
      <alignment horizontal="center" vertical="center"/>
      <protection locked="0"/>
    </xf>
    <xf numFmtId="9" fontId="5" fillId="5" borderId="43" xfId="4" applyFont="1" applyFill="1" applyBorder="1" applyAlignment="1" applyProtection="1">
      <alignment horizontal="center" vertical="center"/>
      <protection locked="0"/>
    </xf>
    <xf numFmtId="165" fontId="5" fillId="2" borderId="45" xfId="3" applyFont="1" applyFill="1" applyBorder="1" applyAlignment="1" applyProtection="1">
      <alignment horizontal="right" vertical="center"/>
    </xf>
    <xf numFmtId="174" fontId="5" fillId="2" borderId="20" xfId="0" applyNumberFormat="1" applyFont="1" applyFill="1" applyBorder="1" applyAlignment="1" applyProtection="1">
      <alignment vertical="center"/>
    </xf>
    <xf numFmtId="165" fontId="5" fillId="2" borderId="30" xfId="3" applyFont="1" applyFill="1" applyBorder="1" applyAlignment="1" applyProtection="1">
      <alignment horizontal="right" vertical="center"/>
    </xf>
    <xf numFmtId="172" fontId="5" fillId="2" borderId="22" xfId="3" applyNumberFormat="1" applyFont="1" applyFill="1" applyBorder="1" applyAlignment="1" applyProtection="1">
      <alignment horizontal="center" vertical="center"/>
    </xf>
    <xf numFmtId="172" fontId="5" fillId="4" borderId="27" xfId="3" applyNumberFormat="1" applyFont="1" applyFill="1" applyBorder="1" applyAlignment="1" applyProtection="1">
      <alignment horizontal="center" vertical="center"/>
      <protection locked="0"/>
    </xf>
    <xf numFmtId="172" fontId="5" fillId="2" borderId="33" xfId="3" applyNumberFormat="1" applyFont="1" applyFill="1" applyBorder="1" applyAlignment="1" applyProtection="1">
      <alignment horizontal="center" vertical="center"/>
    </xf>
    <xf numFmtId="172" fontId="5" fillId="4" borderId="29" xfId="3" applyNumberFormat="1" applyFont="1" applyFill="1" applyBorder="1" applyAlignment="1" applyProtection="1">
      <alignment horizontal="center" vertical="center"/>
      <protection locked="0"/>
    </xf>
    <xf numFmtId="184" fontId="5" fillId="4" borderId="6" xfId="0" applyNumberFormat="1" applyFont="1" applyFill="1" applyBorder="1" applyAlignment="1" applyProtection="1">
      <alignment horizontal="center" vertical="center"/>
      <protection locked="0"/>
    </xf>
    <xf numFmtId="175" fontId="5" fillId="4" borderId="29" xfId="3" applyNumberFormat="1" applyFont="1" applyFill="1" applyBorder="1" applyAlignment="1" applyProtection="1">
      <alignment horizontal="center" vertical="center"/>
      <protection locked="0"/>
    </xf>
    <xf numFmtId="175" fontId="5" fillId="2" borderId="21" xfId="3" applyNumberFormat="1" applyFont="1" applyFill="1" applyBorder="1" applyAlignment="1" applyProtection="1">
      <alignment horizontal="center" vertical="center"/>
    </xf>
    <xf numFmtId="184" fontId="5" fillId="4" borderId="34" xfId="0" applyNumberFormat="1" applyFont="1" applyFill="1" applyBorder="1" applyAlignment="1" applyProtection="1">
      <alignment horizontal="center" vertical="center"/>
      <protection locked="0"/>
    </xf>
    <xf numFmtId="175" fontId="5" fillId="4" borderId="30" xfId="3" applyNumberFormat="1" applyFont="1" applyFill="1" applyBorder="1" applyAlignment="1" applyProtection="1">
      <alignment horizontal="center" vertical="center"/>
      <protection locked="0"/>
    </xf>
    <xf numFmtId="175" fontId="5" fillId="2" borderId="22" xfId="3" applyNumberFormat="1" applyFont="1" applyFill="1" applyBorder="1" applyAlignment="1" applyProtection="1">
      <alignment horizontal="center" vertical="center"/>
    </xf>
    <xf numFmtId="165" fontId="5" fillId="2" borderId="15" xfId="3" applyFont="1" applyFill="1" applyBorder="1" applyAlignment="1" applyProtection="1">
      <alignment horizontal="right" vertical="center"/>
    </xf>
    <xf numFmtId="10" fontId="5" fillId="2" borderId="26" xfId="4" applyNumberFormat="1" applyFont="1" applyFill="1" applyBorder="1" applyAlignment="1" applyProtection="1">
      <alignment vertical="center"/>
    </xf>
    <xf numFmtId="10" fontId="5" fillId="2" borderId="28" xfId="4" applyNumberFormat="1" applyFont="1" applyFill="1" applyBorder="1" applyAlignment="1" applyProtection="1">
      <alignment vertical="center"/>
    </xf>
    <xf numFmtId="10" fontId="5" fillId="5" borderId="31" xfId="4" applyNumberFormat="1" applyFont="1" applyFill="1" applyBorder="1" applyAlignment="1" applyProtection="1">
      <alignment vertical="center"/>
      <protection locked="0"/>
    </xf>
    <xf numFmtId="10" fontId="4" fillId="2" borderId="1" xfId="4" applyNumberFormat="1" applyFont="1" applyFill="1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3" fillId="2" borderId="1" xfId="0" applyFont="1" applyFill="1" applyBorder="1" applyAlignment="1" applyProtection="1">
      <alignment horizontal="center" vertical="center"/>
    </xf>
    <xf numFmtId="167" fontId="5" fillId="0" borderId="0" xfId="2" applyNumberFormat="1" applyFont="1" applyProtection="1"/>
    <xf numFmtId="0" fontId="18" fillId="3" borderId="1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vertical="center"/>
    </xf>
    <xf numFmtId="0" fontId="5" fillId="6" borderId="0" xfId="0" applyFont="1" applyFill="1" applyBorder="1" applyAlignment="1" applyProtection="1">
      <alignment horizontal="center" vertical="center"/>
    </xf>
    <xf numFmtId="165" fontId="3" fillId="3" borderId="1" xfId="3" applyFont="1" applyFill="1" applyBorder="1" applyAlignment="1" applyProtection="1">
      <alignment horizontal="right" vertical="center"/>
      <protection locked="0"/>
    </xf>
    <xf numFmtId="10" fontId="18" fillId="3" borderId="14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vertical="center"/>
    </xf>
    <xf numFmtId="165" fontId="3" fillId="2" borderId="1" xfId="0" applyNumberFormat="1" applyFont="1" applyFill="1" applyBorder="1" applyAlignment="1" applyProtection="1">
      <alignment vertical="center"/>
    </xf>
    <xf numFmtId="165" fontId="5" fillId="0" borderId="0" xfId="0" applyNumberFormat="1" applyFont="1" applyAlignment="1" applyProtection="1"/>
    <xf numFmtId="182" fontId="5" fillId="4" borderId="3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5" fillId="4" borderId="45" xfId="0" applyFont="1" applyFill="1" applyBorder="1" applyAlignment="1" applyProtection="1">
      <alignment horizontal="center" vertical="center"/>
      <protection locked="0"/>
    </xf>
    <xf numFmtId="165" fontId="5" fillId="2" borderId="56" xfId="3" applyFont="1" applyFill="1" applyBorder="1" applyAlignment="1" applyProtection="1">
      <alignment horizontal="right" vertical="center"/>
    </xf>
    <xf numFmtId="186" fontId="5" fillId="2" borderId="26" xfId="0" applyNumberFormat="1" applyFont="1" applyFill="1" applyBorder="1" applyAlignment="1" applyProtection="1">
      <alignment horizontal="right" vertical="center"/>
    </xf>
    <xf numFmtId="0" fontId="5" fillId="4" borderId="29" xfId="0" applyFont="1" applyFill="1" applyBorder="1" applyAlignment="1" applyProtection="1">
      <alignment horizontal="center" vertical="center"/>
      <protection locked="0"/>
    </xf>
    <xf numFmtId="165" fontId="5" fillId="2" borderId="47" xfId="3" applyFont="1" applyFill="1" applyBorder="1" applyAlignment="1" applyProtection="1">
      <alignment horizontal="right" vertical="center"/>
    </xf>
    <xf numFmtId="186" fontId="5" fillId="2" borderId="28" xfId="0" applyNumberFormat="1" applyFont="1" applyFill="1" applyBorder="1" applyAlignment="1" applyProtection="1">
      <alignment horizontal="right" vertical="center"/>
    </xf>
    <xf numFmtId="0" fontId="5" fillId="2" borderId="11" xfId="0" applyFont="1" applyFill="1" applyBorder="1" applyAlignment="1" applyProtection="1">
      <alignment horizontal="center" vertical="center"/>
    </xf>
    <xf numFmtId="0" fontId="5" fillId="2" borderId="3" xfId="0" applyFont="1" applyFill="1" applyBorder="1" applyAlignment="1" applyProtection="1">
      <alignment horizontal="center" vertical="center"/>
    </xf>
    <xf numFmtId="0" fontId="5" fillId="4" borderId="30" xfId="0" applyFont="1" applyFill="1" applyBorder="1" applyAlignment="1" applyProtection="1">
      <alignment horizontal="center" vertical="center"/>
      <protection locked="0"/>
    </xf>
    <xf numFmtId="165" fontId="5" fillId="2" borderId="61" xfId="3" applyFont="1" applyFill="1" applyBorder="1" applyAlignment="1" applyProtection="1">
      <alignment horizontal="right" vertical="center"/>
    </xf>
    <xf numFmtId="186" fontId="5" fillId="2" borderId="31" xfId="0" applyNumberFormat="1" applyFont="1" applyFill="1" applyBorder="1" applyAlignment="1" applyProtection="1">
      <alignment horizontal="right" vertical="center"/>
    </xf>
    <xf numFmtId="165" fontId="3" fillId="2" borderId="46" xfId="3" applyFont="1" applyFill="1" applyBorder="1" applyAlignment="1" applyProtection="1">
      <alignment horizontal="right" vertical="center"/>
    </xf>
    <xf numFmtId="186" fontId="3" fillId="2" borderId="1" xfId="0" applyNumberFormat="1" applyFont="1" applyFill="1" applyBorder="1" applyAlignment="1" applyProtection="1">
      <alignment horizontal="right" vertical="center"/>
    </xf>
    <xf numFmtId="172" fontId="5" fillId="5" borderId="43" xfId="3" applyNumberFormat="1" applyFont="1" applyFill="1" applyBorder="1" applyAlignment="1" applyProtection="1">
      <alignment horizontal="center" vertical="center"/>
      <protection locked="0"/>
    </xf>
    <xf numFmtId="165" fontId="5" fillId="2" borderId="72" xfId="3" applyFont="1" applyFill="1" applyBorder="1" applyAlignment="1" applyProtection="1">
      <alignment horizontal="right" vertical="center"/>
    </xf>
    <xf numFmtId="0" fontId="5" fillId="14" borderId="7" xfId="0" applyFont="1" applyFill="1" applyBorder="1" applyAlignment="1" applyProtection="1">
      <alignment vertical="center"/>
    </xf>
    <xf numFmtId="0" fontId="5" fillId="2" borderId="31" xfId="0" applyFont="1" applyFill="1" applyBorder="1" applyAlignment="1" applyProtection="1">
      <alignment horizontal="center" vertical="center"/>
    </xf>
    <xf numFmtId="0" fontId="2" fillId="7" borderId="46" xfId="1" applyFill="1" applyBorder="1" applyAlignment="1" applyProtection="1">
      <alignment horizontal="left" vertical="center"/>
    </xf>
    <xf numFmtId="0" fontId="5" fillId="7" borderId="32" xfId="0" applyFont="1" applyFill="1" applyBorder="1" applyAlignment="1">
      <alignment horizontal="left" vertical="center"/>
    </xf>
    <xf numFmtId="0" fontId="5" fillId="7" borderId="14" xfId="0" applyFont="1" applyFill="1" applyBorder="1" applyAlignment="1">
      <alignment horizontal="left" vertical="center"/>
    </xf>
    <xf numFmtId="0" fontId="3" fillId="2" borderId="46" xfId="0" applyFont="1" applyFill="1" applyBorder="1" applyAlignment="1" applyProtection="1">
      <alignment horizontal="center" vertical="center"/>
    </xf>
    <xf numFmtId="0" fontId="3" fillId="2" borderId="32" xfId="0" applyFont="1" applyFill="1" applyBorder="1" applyAlignment="1" applyProtection="1">
      <alignment horizontal="center" vertical="center"/>
    </xf>
    <xf numFmtId="0" fontId="3" fillId="2" borderId="14" xfId="0" applyFont="1" applyFill="1" applyBorder="1" applyAlignment="1" applyProtection="1">
      <alignment horizontal="center" vertical="center"/>
    </xf>
    <xf numFmtId="0" fontId="4" fillId="2" borderId="46" xfId="0" applyFont="1" applyFill="1" applyBorder="1" applyAlignment="1" applyProtection="1">
      <alignment horizontal="center" vertical="center"/>
    </xf>
    <xf numFmtId="0" fontId="4" fillId="2" borderId="14" xfId="0" applyFont="1" applyFill="1" applyBorder="1" applyAlignment="1" applyProtection="1">
      <alignment horizontal="center" vertical="center"/>
    </xf>
    <xf numFmtId="0" fontId="5" fillId="6" borderId="47" xfId="0" applyFont="1" applyFill="1" applyBorder="1" applyAlignment="1" applyProtection="1">
      <alignment horizontal="left" vertical="center"/>
    </xf>
    <xf numFmtId="0" fontId="5" fillId="6" borderId="48" xfId="0" applyFont="1" applyFill="1" applyBorder="1" applyAlignment="1" applyProtection="1">
      <alignment horizontal="left" vertical="center"/>
    </xf>
    <xf numFmtId="0" fontId="5" fillId="6" borderId="9" xfId="0" applyFont="1" applyFill="1" applyBorder="1" applyAlignment="1" applyProtection="1">
      <alignment horizontal="left" vertical="center"/>
    </xf>
    <xf numFmtId="0" fontId="5" fillId="2" borderId="46" xfId="0" applyFont="1" applyFill="1" applyBorder="1" applyProtection="1"/>
    <xf numFmtId="0" fontId="5" fillId="2" borderId="32" xfId="0" applyFont="1" applyFill="1" applyBorder="1" applyProtection="1"/>
    <xf numFmtId="0" fontId="5" fillId="2" borderId="14" xfId="0" applyFont="1" applyFill="1" applyBorder="1" applyProtection="1"/>
    <xf numFmtId="0" fontId="5" fillId="17" borderId="12" xfId="0" applyFont="1" applyFill="1" applyBorder="1" applyAlignment="1" applyProtection="1">
      <alignment horizontal="left" vertical="center"/>
    </xf>
    <xf numFmtId="0" fontId="5" fillId="17" borderId="49" xfId="0" applyFont="1" applyFill="1" applyBorder="1" applyAlignment="1" applyProtection="1">
      <alignment horizontal="left" vertical="center"/>
    </xf>
    <xf numFmtId="0" fontId="5" fillId="6" borderId="34" xfId="0" applyFont="1" applyFill="1" applyBorder="1" applyAlignment="1" applyProtection="1">
      <alignment horizontal="left" vertical="center"/>
    </xf>
    <xf numFmtId="0" fontId="5" fillId="6" borderId="18" xfId="0" applyFont="1" applyFill="1" applyBorder="1" applyAlignment="1" applyProtection="1">
      <alignment horizontal="left" vertical="center"/>
    </xf>
    <xf numFmtId="0" fontId="5" fillId="6" borderId="12" xfId="0" applyFont="1" applyFill="1" applyBorder="1" applyAlignment="1" applyProtection="1">
      <alignment horizontal="left" vertical="center"/>
    </xf>
    <xf numFmtId="0" fontId="5" fillId="6" borderId="0" xfId="0" applyFont="1" applyFill="1" applyBorder="1" applyAlignment="1">
      <alignment horizontal="center" vertical="center"/>
    </xf>
    <xf numFmtId="0" fontId="5" fillId="6" borderId="6" xfId="0" applyFont="1" applyFill="1" applyBorder="1" applyAlignment="1" applyProtection="1">
      <alignment vertical="center"/>
    </xf>
    <xf numFmtId="0" fontId="5" fillId="6" borderId="7" xfId="0" applyFont="1" applyFill="1" applyBorder="1" applyAlignment="1" applyProtection="1">
      <alignment vertical="center"/>
    </xf>
    <xf numFmtId="0" fontId="5" fillId="6" borderId="8" xfId="0" applyFont="1" applyFill="1" applyBorder="1" applyAlignment="1" applyProtection="1">
      <alignment vertical="center"/>
    </xf>
    <xf numFmtId="0" fontId="3" fillId="2" borderId="50" xfId="0" applyFont="1" applyFill="1" applyBorder="1" applyAlignment="1" applyProtection="1">
      <alignment horizontal="center" vertical="center"/>
    </xf>
    <xf numFmtId="0" fontId="3" fillId="2" borderId="51" xfId="0" applyFont="1" applyFill="1" applyBorder="1" applyAlignment="1" applyProtection="1">
      <alignment horizontal="center" vertical="center"/>
    </xf>
    <xf numFmtId="0" fontId="3" fillId="2" borderId="37" xfId="0" applyFont="1" applyFill="1" applyBorder="1" applyAlignment="1" applyProtection="1">
      <alignment horizontal="center" vertical="center"/>
    </xf>
    <xf numFmtId="0" fontId="3" fillId="2" borderId="52" xfId="0" applyFont="1" applyFill="1" applyBorder="1" applyAlignment="1" applyProtection="1">
      <alignment horizontal="center" vertical="center"/>
    </xf>
    <xf numFmtId="49" fontId="5" fillId="4" borderId="35" xfId="0" applyNumberFormat="1" applyFont="1" applyFill="1" applyBorder="1" applyAlignment="1" applyProtection="1">
      <alignment vertical="center"/>
      <protection locked="0"/>
    </xf>
    <xf numFmtId="49" fontId="5" fillId="4" borderId="57" xfId="0" applyNumberFormat="1" applyFont="1" applyFill="1" applyBorder="1" applyAlignment="1" applyProtection="1">
      <alignment vertical="center"/>
      <protection locked="0"/>
    </xf>
    <xf numFmtId="49" fontId="5" fillId="4" borderId="20" xfId="0" applyNumberFormat="1" applyFont="1" applyFill="1" applyBorder="1" applyAlignment="1" applyProtection="1">
      <alignment vertical="center"/>
      <protection locked="0"/>
    </xf>
    <xf numFmtId="49" fontId="5" fillId="4" borderId="8" xfId="0" applyNumberFormat="1" applyFont="1" applyFill="1" applyBorder="1" applyAlignment="1" applyProtection="1">
      <alignment vertical="center"/>
      <protection locked="0"/>
    </xf>
    <xf numFmtId="49" fontId="5" fillId="4" borderId="48" xfId="0" applyNumberFormat="1" applyFont="1" applyFill="1" applyBorder="1" applyAlignment="1" applyProtection="1">
      <alignment vertical="center"/>
      <protection locked="0"/>
    </xf>
    <xf numFmtId="49" fontId="5" fillId="4" borderId="21" xfId="0" applyNumberFormat="1" applyFont="1" applyFill="1" applyBorder="1" applyAlignment="1" applyProtection="1">
      <alignment vertical="center"/>
      <protection locked="0"/>
    </xf>
    <xf numFmtId="0" fontId="3" fillId="2" borderId="63" xfId="0" applyFont="1" applyFill="1" applyBorder="1" applyAlignment="1" applyProtection="1">
      <alignment horizontal="center" vertical="center"/>
    </xf>
    <xf numFmtId="165" fontId="5" fillId="2" borderId="21" xfId="3" applyFont="1" applyFill="1" applyBorder="1" applyAlignment="1" applyProtection="1">
      <alignment horizontal="right" vertical="center"/>
    </xf>
    <xf numFmtId="165" fontId="5" fillId="2" borderId="29" xfId="3" applyFont="1" applyFill="1" applyBorder="1" applyAlignment="1" applyProtection="1">
      <alignment horizontal="right" vertical="center"/>
    </xf>
    <xf numFmtId="167" fontId="3" fillId="2" borderId="16" xfId="2" applyNumberFormat="1" applyFont="1" applyFill="1" applyBorder="1" applyAlignment="1" applyProtection="1">
      <alignment horizontal="center" vertical="center" wrapText="1"/>
    </xf>
    <xf numFmtId="167" fontId="3" fillId="2" borderId="3" xfId="2" applyNumberFormat="1" applyFont="1" applyFill="1" applyBorder="1" applyAlignment="1" applyProtection="1">
      <alignment horizontal="center" vertical="center" wrapText="1"/>
    </xf>
    <xf numFmtId="167" fontId="3" fillId="2" borderId="7" xfId="2" applyNumberFormat="1" applyFont="1" applyFill="1" applyBorder="1" applyAlignment="1" applyProtection="1">
      <alignment horizontal="center" vertical="center" wrapText="1"/>
    </xf>
    <xf numFmtId="0" fontId="5" fillId="0" borderId="25" xfId="0" applyFont="1" applyBorder="1" applyAlignment="1" applyProtection="1">
      <alignment horizontal="center" vertical="center"/>
    </xf>
    <xf numFmtId="0" fontId="5" fillId="0" borderId="35" xfId="0" applyFont="1" applyBorder="1" applyAlignment="1" applyProtection="1">
      <alignment horizontal="center" vertical="center"/>
    </xf>
    <xf numFmtId="0" fontId="5" fillId="0" borderId="34" xfId="0" applyFont="1" applyBorder="1" applyAlignment="1" applyProtection="1">
      <alignment horizontal="center" vertical="center"/>
    </xf>
    <xf numFmtId="0" fontId="5" fillId="0" borderId="12" xfId="0" applyFont="1" applyBorder="1" applyAlignment="1" applyProtection="1">
      <alignment horizontal="center" vertical="center"/>
    </xf>
    <xf numFmtId="165" fontId="5" fillId="2" borderId="25" xfId="3" applyFont="1" applyFill="1" applyBorder="1" applyAlignment="1" applyProtection="1">
      <alignment horizontal="center" vertical="center"/>
    </xf>
    <xf numFmtId="165" fontId="5" fillId="2" borderId="45" xfId="3" applyFont="1" applyFill="1" applyBorder="1" applyAlignment="1" applyProtection="1">
      <alignment horizontal="center" vertical="center"/>
    </xf>
    <xf numFmtId="165" fontId="5" fillId="2" borderId="34" xfId="3" applyFont="1" applyFill="1" applyBorder="1" applyAlignment="1" applyProtection="1">
      <alignment horizontal="center" vertical="center"/>
    </xf>
    <xf numFmtId="165" fontId="5" fillId="2" borderId="30" xfId="3" applyFont="1" applyFill="1" applyBorder="1" applyAlignment="1" applyProtection="1">
      <alignment horizontal="center" vertical="center"/>
    </xf>
    <xf numFmtId="0" fontId="3" fillId="0" borderId="46" xfId="0" applyFont="1" applyBorder="1" applyAlignment="1" applyProtection="1">
      <alignment horizontal="center" vertical="center"/>
    </xf>
    <xf numFmtId="0" fontId="3" fillId="0" borderId="32" xfId="0" applyFont="1" applyBorder="1" applyAlignment="1" applyProtection="1">
      <alignment horizontal="center" vertical="center"/>
    </xf>
    <xf numFmtId="0" fontId="3" fillId="0" borderId="14" xfId="0" applyFont="1" applyBorder="1" applyAlignment="1" applyProtection="1">
      <alignment horizontal="center" vertical="center"/>
    </xf>
    <xf numFmtId="0" fontId="5" fillId="0" borderId="46" xfId="0" applyFont="1" applyBorder="1" applyAlignment="1" applyProtection="1">
      <alignment horizontal="center" vertical="center"/>
    </xf>
    <xf numFmtId="0" fontId="5" fillId="0" borderId="32" xfId="0" applyFont="1" applyBorder="1" applyAlignment="1" applyProtection="1">
      <alignment horizontal="center" vertical="center"/>
    </xf>
    <xf numFmtId="0" fontId="5" fillId="0" borderId="14" xfId="0" applyFont="1" applyBorder="1" applyAlignment="1" applyProtection="1">
      <alignment horizontal="center" vertical="center"/>
    </xf>
    <xf numFmtId="0" fontId="3" fillId="0" borderId="50" xfId="0" applyFont="1" applyBorder="1" applyAlignment="1" applyProtection="1">
      <alignment horizontal="center" vertical="center"/>
    </xf>
    <xf numFmtId="0" fontId="3" fillId="0" borderId="51" xfId="0" applyFont="1" applyBorder="1" applyAlignment="1" applyProtection="1">
      <alignment horizontal="center" vertical="center"/>
    </xf>
    <xf numFmtId="0" fontId="4" fillId="4" borderId="18" xfId="0" applyFont="1" applyFill="1" applyBorder="1" applyAlignment="1" applyProtection="1">
      <alignment horizontal="center" vertical="center"/>
      <protection locked="0"/>
    </xf>
    <xf numFmtId="0" fontId="4" fillId="4" borderId="30" xfId="0" applyFont="1" applyFill="1" applyBorder="1" applyAlignment="1" applyProtection="1">
      <alignment horizontal="center" vertical="center"/>
      <protection locked="0"/>
    </xf>
    <xf numFmtId="0" fontId="3" fillId="2" borderId="24" xfId="0" applyFont="1" applyFill="1" applyBorder="1" applyAlignment="1" applyProtection="1">
      <alignment horizontal="center" vertical="center"/>
    </xf>
    <xf numFmtId="0" fontId="3" fillId="2" borderId="53" xfId="0" applyFont="1" applyFill="1" applyBorder="1" applyAlignment="1" applyProtection="1">
      <alignment horizontal="center" vertical="center"/>
    </xf>
    <xf numFmtId="0" fontId="3" fillId="2" borderId="54" xfId="0" applyFont="1" applyFill="1" applyBorder="1" applyAlignment="1" applyProtection="1">
      <alignment horizontal="center" vertical="center"/>
    </xf>
    <xf numFmtId="0" fontId="3" fillId="2" borderId="23" xfId="0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 vertical="center"/>
    </xf>
    <xf numFmtId="0" fontId="3" fillId="2" borderId="55" xfId="0" applyFont="1" applyFill="1" applyBorder="1" applyAlignment="1" applyProtection="1">
      <alignment horizontal="center" vertical="center"/>
    </xf>
    <xf numFmtId="9" fontId="5" fillId="3" borderId="25" xfId="4" applyFont="1" applyFill="1" applyBorder="1" applyAlignment="1" applyProtection="1">
      <alignment horizontal="center" vertical="center"/>
      <protection locked="0"/>
    </xf>
    <xf numFmtId="9" fontId="5" fillId="3" borderId="45" xfId="4" applyFont="1" applyFill="1" applyBorder="1" applyAlignment="1" applyProtection="1">
      <alignment horizontal="center" vertical="center"/>
      <protection locked="0"/>
    </xf>
    <xf numFmtId="9" fontId="5" fillId="3" borderId="34" xfId="4" applyFont="1" applyFill="1" applyBorder="1" applyAlignment="1" applyProtection="1">
      <alignment horizontal="center" vertical="center"/>
      <protection locked="0"/>
    </xf>
    <xf numFmtId="9" fontId="5" fillId="3" borderId="30" xfId="4" applyFont="1" applyFill="1" applyBorder="1" applyAlignment="1" applyProtection="1">
      <alignment horizontal="center" vertical="center"/>
      <protection locked="0"/>
    </xf>
    <xf numFmtId="171" fontId="4" fillId="2" borderId="46" xfId="3" applyNumberFormat="1" applyFont="1" applyFill="1" applyBorder="1" applyAlignment="1" applyProtection="1">
      <alignment horizontal="center" vertical="center"/>
    </xf>
    <xf numFmtId="171" fontId="4" fillId="2" borderId="32" xfId="3" applyNumberFormat="1" applyFont="1" applyFill="1" applyBorder="1" applyAlignment="1" applyProtection="1">
      <alignment horizontal="center" vertical="center"/>
    </xf>
    <xf numFmtId="0" fontId="5" fillId="6" borderId="48" xfId="0" applyFont="1" applyFill="1" applyBorder="1" applyAlignment="1" applyProtection="1">
      <alignment vertical="center"/>
    </xf>
    <xf numFmtId="0" fontId="5" fillId="6" borderId="9" xfId="0" applyFont="1" applyFill="1" applyBorder="1" applyAlignment="1" applyProtection="1">
      <alignment vertical="center"/>
    </xf>
    <xf numFmtId="0" fontId="5" fillId="0" borderId="42" xfId="0" applyFont="1" applyBorder="1" applyAlignment="1" applyProtection="1">
      <alignment vertical="center"/>
    </xf>
    <xf numFmtId="0" fontId="5" fillId="0" borderId="58" xfId="0" applyFont="1" applyBorder="1" applyAlignment="1" applyProtection="1">
      <alignment vertical="center"/>
    </xf>
    <xf numFmtId="0" fontId="5" fillId="0" borderId="23" xfId="0" applyFont="1" applyBorder="1" applyAlignment="1" applyProtection="1">
      <alignment vertical="center"/>
    </xf>
    <xf numFmtId="0" fontId="5" fillId="0" borderId="59" xfId="0" applyFont="1" applyBorder="1" applyAlignment="1" applyProtection="1">
      <alignment vertical="center"/>
    </xf>
    <xf numFmtId="0" fontId="5" fillId="0" borderId="60" xfId="0" applyFont="1" applyBorder="1" applyAlignment="1" applyProtection="1">
      <alignment vertical="center"/>
    </xf>
    <xf numFmtId="0" fontId="5" fillId="0" borderId="33" xfId="0" applyFont="1" applyBorder="1" applyAlignment="1" applyProtection="1">
      <alignment vertical="center"/>
    </xf>
    <xf numFmtId="0" fontId="5" fillId="6" borderId="10" xfId="0" applyFont="1" applyFill="1" applyBorder="1" applyAlignment="1" applyProtection="1">
      <alignment horizontal="left" vertical="center"/>
    </xf>
    <xf numFmtId="0" fontId="5" fillId="6" borderId="38" xfId="0" applyFont="1" applyFill="1" applyBorder="1" applyAlignment="1" applyProtection="1">
      <alignment horizontal="left" vertical="center"/>
    </xf>
    <xf numFmtId="0" fontId="5" fillId="6" borderId="61" xfId="0" applyFont="1" applyFill="1" applyBorder="1" applyAlignment="1" applyProtection="1">
      <alignment horizontal="left" vertical="center"/>
    </xf>
    <xf numFmtId="0" fontId="5" fillId="6" borderId="49" xfId="0" applyFont="1" applyFill="1" applyBorder="1" applyAlignment="1" applyProtection="1">
      <alignment horizontal="left" vertical="center"/>
    </xf>
    <xf numFmtId="0" fontId="5" fillId="6" borderId="13" xfId="0" applyFont="1" applyFill="1" applyBorder="1" applyAlignment="1" applyProtection="1">
      <alignment horizontal="left" vertical="center"/>
    </xf>
    <xf numFmtId="0" fontId="5" fillId="6" borderId="2" xfId="0" applyFont="1" applyFill="1" applyBorder="1" applyAlignment="1" applyProtection="1">
      <alignment vertical="center"/>
    </xf>
    <xf numFmtId="0" fontId="5" fillId="6" borderId="3" xfId="0" applyFont="1" applyFill="1" applyBorder="1" applyAlignment="1" applyProtection="1">
      <alignment vertical="center"/>
    </xf>
    <xf numFmtId="0" fontId="5" fillId="6" borderId="27" xfId="0" applyFont="1" applyFill="1" applyBorder="1" applyAlignment="1" applyProtection="1">
      <alignment vertical="center"/>
    </xf>
    <xf numFmtId="168" fontId="4" fillId="2" borderId="46" xfId="3" applyNumberFormat="1" applyFont="1" applyFill="1" applyBorder="1" applyAlignment="1" applyProtection="1">
      <alignment horizontal="center" vertical="center"/>
    </xf>
    <xf numFmtId="168" fontId="4" fillId="2" borderId="32" xfId="3" applyNumberFormat="1" applyFont="1" applyFill="1" applyBorder="1" applyAlignment="1" applyProtection="1">
      <alignment horizontal="center" vertical="center"/>
    </xf>
    <xf numFmtId="0" fontId="5" fillId="6" borderId="47" xfId="0" applyFont="1" applyFill="1" applyBorder="1" applyAlignment="1" applyProtection="1">
      <alignment vertical="center"/>
    </xf>
    <xf numFmtId="0" fontId="5" fillId="6" borderId="29" xfId="0" applyFont="1" applyFill="1" applyBorder="1" applyAlignment="1" applyProtection="1">
      <alignment vertical="center"/>
    </xf>
    <xf numFmtId="0" fontId="3" fillId="2" borderId="41" xfId="0" applyFont="1" applyFill="1" applyBorder="1" applyAlignment="1" applyProtection="1">
      <alignment horizontal="center" vertical="center"/>
    </xf>
    <xf numFmtId="0" fontId="3" fillId="2" borderId="66" xfId="0" applyFont="1" applyFill="1" applyBorder="1" applyAlignment="1" applyProtection="1">
      <alignment horizontal="center" vertical="center"/>
    </xf>
    <xf numFmtId="0" fontId="3" fillId="2" borderId="19" xfId="0" applyFont="1" applyFill="1" applyBorder="1" applyAlignment="1" applyProtection="1">
      <alignment horizontal="center" vertical="center"/>
    </xf>
    <xf numFmtId="0" fontId="2" fillId="5" borderId="46" xfId="1" applyFill="1" applyBorder="1" applyAlignment="1" applyProtection="1">
      <alignment horizontal="left"/>
    </xf>
    <xf numFmtId="0" fontId="5" fillId="5" borderId="32" xfId="0" applyFont="1" applyFill="1" applyBorder="1" applyAlignment="1" applyProtection="1">
      <alignment horizontal="left"/>
    </xf>
    <xf numFmtId="0" fontId="5" fillId="5" borderId="14" xfId="0" applyFont="1" applyFill="1" applyBorder="1" applyAlignment="1" applyProtection="1">
      <alignment horizontal="left"/>
    </xf>
    <xf numFmtId="168" fontId="3" fillId="2" borderId="32" xfId="3" applyNumberFormat="1" applyFont="1" applyFill="1" applyBorder="1" applyAlignment="1" applyProtection="1">
      <alignment horizontal="center" vertical="center"/>
    </xf>
    <xf numFmtId="168" fontId="3" fillId="2" borderId="14" xfId="3" applyNumberFormat="1" applyFont="1" applyFill="1" applyBorder="1" applyAlignment="1" applyProtection="1">
      <alignment horizontal="center" vertical="center"/>
    </xf>
    <xf numFmtId="0" fontId="5" fillId="0" borderId="0" xfId="0" applyFont="1"/>
    <xf numFmtId="0" fontId="5" fillId="2" borderId="46" xfId="0" applyFont="1" applyFill="1" applyBorder="1" applyAlignment="1">
      <alignment horizontal="center" vertical="center"/>
    </xf>
    <xf numFmtId="0" fontId="5" fillId="2" borderId="32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167" fontId="3" fillId="2" borderId="25" xfId="2" applyNumberFormat="1" applyFont="1" applyFill="1" applyBorder="1" applyAlignment="1" applyProtection="1">
      <alignment horizontal="center" vertical="center" wrapText="1"/>
    </xf>
    <xf numFmtId="167" fontId="3" fillId="2" borderId="2" xfId="2" applyNumberFormat="1" applyFont="1" applyFill="1" applyBorder="1" applyAlignment="1" applyProtection="1">
      <alignment horizontal="center" vertical="center" wrapText="1"/>
    </xf>
    <xf numFmtId="167" fontId="3" fillId="2" borderId="6" xfId="2" applyNumberFormat="1" applyFont="1" applyFill="1" applyBorder="1" applyAlignment="1" applyProtection="1">
      <alignment horizontal="center" vertical="center" wrapText="1"/>
    </xf>
    <xf numFmtId="0" fontId="5" fillId="0" borderId="47" xfId="0" applyFont="1" applyBorder="1" applyAlignment="1" applyProtection="1">
      <alignment horizontal="center" vertical="center"/>
    </xf>
    <xf numFmtId="0" fontId="5" fillId="0" borderId="48" xfId="0" applyFont="1" applyBorder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4" fillId="2" borderId="7" xfId="0" applyFont="1" applyFill="1" applyBorder="1" applyAlignment="1" applyProtection="1">
      <alignment horizontal="center" vertical="center"/>
    </xf>
    <xf numFmtId="0" fontId="4" fillId="2" borderId="32" xfId="0" applyFont="1" applyFill="1" applyBorder="1" applyAlignment="1" applyProtection="1">
      <alignment horizontal="center" vertical="center"/>
    </xf>
    <xf numFmtId="0" fontId="4" fillId="4" borderId="7" xfId="0" applyFont="1" applyFill="1" applyBorder="1" applyAlignment="1" applyProtection="1">
      <alignment horizontal="center" vertical="center"/>
      <protection locked="0"/>
    </xf>
    <xf numFmtId="0" fontId="4" fillId="4" borderId="29" xfId="0" applyFont="1" applyFill="1" applyBorder="1" applyAlignment="1" applyProtection="1">
      <alignment horizontal="center" vertical="center"/>
      <protection locked="0"/>
    </xf>
    <xf numFmtId="0" fontId="5" fillId="0" borderId="56" xfId="0" applyFont="1" applyBorder="1" applyAlignment="1" applyProtection="1">
      <alignment horizontal="center" vertical="center"/>
    </xf>
    <xf numFmtId="0" fontId="5" fillId="0" borderId="57" xfId="0" applyFont="1" applyBorder="1" applyAlignment="1" applyProtection="1">
      <alignment horizontal="center" vertical="center"/>
    </xf>
    <xf numFmtId="171" fontId="3" fillId="2" borderId="32" xfId="3" applyNumberFormat="1" applyFont="1" applyFill="1" applyBorder="1" applyAlignment="1" applyProtection="1">
      <alignment horizontal="center" vertical="center"/>
    </xf>
    <xf numFmtId="0" fontId="5" fillId="15" borderId="7" xfId="0" applyFont="1" applyFill="1" applyBorder="1" applyAlignment="1" applyProtection="1">
      <alignment horizontal="left" vertical="center"/>
    </xf>
    <xf numFmtId="0" fontId="5" fillId="15" borderId="8" xfId="0" applyFont="1" applyFill="1" applyBorder="1" applyAlignment="1" applyProtection="1">
      <alignment horizontal="left" vertical="center"/>
    </xf>
    <xf numFmtId="0" fontId="5" fillId="14" borderId="7" xfId="0" applyFont="1" applyFill="1" applyBorder="1" applyAlignment="1" applyProtection="1">
      <alignment horizontal="left" vertical="center"/>
    </xf>
    <xf numFmtId="0" fontId="5" fillId="14" borderId="8" xfId="0" applyFont="1" applyFill="1" applyBorder="1" applyAlignment="1" applyProtection="1">
      <alignment horizontal="left" vertical="center"/>
    </xf>
    <xf numFmtId="0" fontId="5" fillId="16" borderId="7" xfId="0" applyFont="1" applyFill="1" applyBorder="1" applyAlignment="1" applyProtection="1">
      <alignment horizontal="left" vertical="center"/>
    </xf>
    <xf numFmtId="0" fontId="5" fillId="16" borderId="8" xfId="0" applyFont="1" applyFill="1" applyBorder="1" applyAlignment="1" applyProtection="1">
      <alignment horizontal="left" vertical="center"/>
    </xf>
    <xf numFmtId="0" fontId="5" fillId="17" borderId="8" xfId="0" applyFont="1" applyFill="1" applyBorder="1" applyAlignment="1" applyProtection="1">
      <alignment horizontal="left" vertical="center"/>
    </xf>
    <xf numFmtId="0" fontId="5" fillId="17" borderId="48" xfId="0" applyFont="1" applyFill="1" applyBorder="1" applyAlignment="1" applyProtection="1">
      <alignment horizontal="left" vertical="center"/>
    </xf>
    <xf numFmtId="0" fontId="5" fillId="15" borderId="3" xfId="0" applyFont="1" applyFill="1" applyBorder="1" applyAlignment="1" applyProtection="1">
      <alignment horizontal="left" vertical="center"/>
    </xf>
    <xf numFmtId="0" fontId="5" fillId="15" borderId="4" xfId="0" applyFont="1" applyFill="1" applyBorder="1" applyAlignment="1" applyProtection="1">
      <alignment horizontal="left" vertical="center"/>
    </xf>
    <xf numFmtId="49" fontId="5" fillId="4" borderId="7" xfId="0" applyNumberFormat="1" applyFont="1" applyFill="1" applyBorder="1" applyAlignment="1" applyProtection="1">
      <alignment vertical="center"/>
      <protection locked="0"/>
    </xf>
    <xf numFmtId="185" fontId="5" fillId="4" borderId="7" xfId="3" applyNumberFormat="1" applyFont="1" applyFill="1" applyBorder="1" applyAlignment="1" applyProtection="1">
      <alignment horizontal="right" vertical="center"/>
      <protection locked="0"/>
    </xf>
    <xf numFmtId="185" fontId="5" fillId="4" borderId="29" xfId="3" applyNumberFormat="1" applyFont="1" applyFill="1" applyBorder="1" applyAlignment="1" applyProtection="1">
      <alignment horizontal="right" vertical="center"/>
      <protection locked="0"/>
    </xf>
    <xf numFmtId="167" fontId="3" fillId="2" borderId="45" xfId="2" applyNumberFormat="1" applyFont="1" applyFill="1" applyBorder="1" applyAlignment="1" applyProtection="1">
      <alignment horizontal="center" vertical="center" wrapText="1"/>
    </xf>
    <xf numFmtId="167" fontId="3" fillId="2" borderId="27" xfId="2" applyNumberFormat="1" applyFont="1" applyFill="1" applyBorder="1" applyAlignment="1" applyProtection="1">
      <alignment horizontal="center" vertical="center" wrapText="1"/>
    </xf>
    <xf numFmtId="167" fontId="3" fillId="2" borderId="29" xfId="2" applyNumberFormat="1" applyFont="1" applyFill="1" applyBorder="1" applyAlignment="1" applyProtection="1">
      <alignment horizontal="center" vertical="center" wrapText="1"/>
    </xf>
    <xf numFmtId="0" fontId="5" fillId="6" borderId="4" xfId="0" applyFont="1" applyFill="1" applyBorder="1" applyAlignment="1" applyProtection="1">
      <alignment vertical="center"/>
    </xf>
    <xf numFmtId="0" fontId="5" fillId="6" borderId="6" xfId="0" applyFont="1" applyFill="1" applyBorder="1" applyAlignment="1" applyProtection="1">
      <alignment horizontal="left" vertical="center"/>
    </xf>
    <xf numFmtId="0" fontId="5" fillId="6" borderId="7" xfId="0" applyFont="1" applyFill="1" applyBorder="1" applyAlignment="1" applyProtection="1">
      <alignment horizontal="left" vertical="center"/>
    </xf>
    <xf numFmtId="0" fontId="5" fillId="6" borderId="8" xfId="0" applyFont="1" applyFill="1" applyBorder="1" applyAlignment="1" applyProtection="1">
      <alignment horizontal="left" vertical="center"/>
    </xf>
    <xf numFmtId="167" fontId="3" fillId="2" borderId="53" xfId="2" applyNumberFormat="1" applyFont="1" applyFill="1" applyBorder="1" applyAlignment="1" applyProtection="1">
      <alignment horizontal="center" vertical="center" wrapText="1"/>
    </xf>
    <xf numFmtId="167" fontId="3" fillId="2" borderId="62" xfId="2" applyNumberFormat="1" applyFont="1" applyFill="1" applyBorder="1" applyAlignment="1" applyProtection="1">
      <alignment horizontal="center" vertical="center" wrapText="1"/>
    </xf>
    <xf numFmtId="0" fontId="5" fillId="6" borderId="2" xfId="0" applyFont="1" applyFill="1" applyBorder="1" applyAlignment="1" applyProtection="1">
      <alignment horizontal="left" vertical="center"/>
    </xf>
    <xf numFmtId="0" fontId="4" fillId="2" borderId="56" xfId="0" applyFont="1" applyFill="1" applyBorder="1" applyAlignment="1" applyProtection="1">
      <alignment horizontal="center" vertical="center"/>
    </xf>
    <xf numFmtId="0" fontId="4" fillId="2" borderId="57" xfId="0" applyFont="1" applyFill="1" applyBorder="1" applyAlignment="1" applyProtection="1">
      <alignment horizontal="center" vertical="center"/>
    </xf>
    <xf numFmtId="0" fontId="4" fillId="2" borderId="20" xfId="0" applyFont="1" applyFill="1" applyBorder="1" applyAlignment="1" applyProtection="1">
      <alignment horizontal="center" vertical="center"/>
    </xf>
    <xf numFmtId="0" fontId="4" fillId="4" borderId="35" xfId="0" applyFont="1" applyFill="1" applyBorder="1" applyAlignment="1" applyProtection="1">
      <alignment horizontal="center" vertical="center"/>
      <protection locked="0"/>
    </xf>
    <xf numFmtId="0" fontId="4" fillId="4" borderId="57" xfId="0" applyFont="1" applyFill="1" applyBorder="1" applyAlignment="1" applyProtection="1">
      <alignment horizontal="center" vertical="center"/>
      <protection locked="0"/>
    </xf>
    <xf numFmtId="0" fontId="4" fillId="4" borderId="17" xfId="0" applyFont="1" applyFill="1" applyBorder="1" applyAlignment="1" applyProtection="1">
      <alignment horizontal="center" vertical="center"/>
      <protection locked="0"/>
    </xf>
    <xf numFmtId="0" fontId="4" fillId="2" borderId="34" xfId="0" applyFont="1" applyFill="1" applyBorder="1" applyAlignment="1" applyProtection="1">
      <alignment horizontal="center" vertical="center"/>
    </xf>
    <xf numFmtId="0" fontId="4" fillId="2" borderId="18" xfId="0" applyFont="1" applyFill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6" xfId="0" applyFont="1" applyBorder="1" applyAlignment="1" applyProtection="1">
      <alignment horizontal="center" vertical="center"/>
    </xf>
    <xf numFmtId="0" fontId="5" fillId="0" borderId="7" xfId="0" applyFont="1" applyBorder="1" applyAlignment="1" applyProtection="1">
      <alignment horizontal="center" vertical="center"/>
    </xf>
    <xf numFmtId="0" fontId="5" fillId="0" borderId="8" xfId="0" applyFont="1" applyBorder="1" applyAlignment="1" applyProtection="1">
      <alignment horizontal="center" vertical="center"/>
    </xf>
    <xf numFmtId="0" fontId="5" fillId="0" borderId="18" xfId="0" applyFont="1" applyBorder="1" applyAlignment="1" applyProtection="1">
      <alignment horizontal="center" vertical="center"/>
    </xf>
    <xf numFmtId="174" fontId="3" fillId="4" borderId="26" xfId="0" applyNumberFormat="1" applyFont="1" applyFill="1" applyBorder="1" applyAlignment="1" applyProtection="1">
      <alignment horizontal="center" vertical="center"/>
      <protection locked="0"/>
    </xf>
    <xf numFmtId="174" fontId="3" fillId="4" borderId="28" xfId="0" applyNumberFormat="1" applyFont="1" applyFill="1" applyBorder="1" applyAlignment="1" applyProtection="1">
      <alignment horizontal="center" vertical="center"/>
      <protection locked="0"/>
    </xf>
    <xf numFmtId="174" fontId="3" fillId="4" borderId="3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</xf>
    <xf numFmtId="175" fontId="3" fillId="2" borderId="65" xfId="0" applyNumberFormat="1" applyFont="1" applyFill="1" applyBorder="1" applyAlignment="1" applyProtection="1">
      <alignment horizontal="center" vertical="center"/>
    </xf>
    <xf numFmtId="175" fontId="3" fillId="2" borderId="15" xfId="0" applyNumberFormat="1" applyFont="1" applyFill="1" applyBorder="1" applyAlignment="1" applyProtection="1">
      <alignment horizontal="center" vertical="center"/>
    </xf>
    <xf numFmtId="0" fontId="5" fillId="0" borderId="16" xfId="0" applyFont="1" applyBorder="1" applyAlignment="1" applyProtection="1">
      <alignment horizontal="center" vertical="center"/>
    </xf>
    <xf numFmtId="181" fontId="3" fillId="3" borderId="26" xfId="0" applyNumberFormat="1" applyFont="1" applyFill="1" applyBorder="1" applyAlignment="1" applyProtection="1">
      <alignment horizontal="center" vertical="center"/>
      <protection locked="0"/>
    </xf>
    <xf numFmtId="181" fontId="3" fillId="3" borderId="31" xfId="0" applyNumberFormat="1" applyFont="1" applyFill="1" applyBorder="1" applyAlignment="1" applyProtection="1">
      <alignment horizontal="center" vertical="center"/>
      <protection locked="0"/>
    </xf>
    <xf numFmtId="180" fontId="3" fillId="2" borderId="36" xfId="0" applyNumberFormat="1" applyFont="1" applyFill="1" applyBorder="1" applyAlignment="1" applyProtection="1">
      <alignment horizontal="center" vertical="center"/>
    </xf>
    <xf numFmtId="180" fontId="3" fillId="2" borderId="15" xfId="0" applyNumberFormat="1" applyFont="1" applyFill="1" applyBorder="1" applyAlignment="1" applyProtection="1">
      <alignment horizontal="center" vertical="center"/>
    </xf>
    <xf numFmtId="49" fontId="5" fillId="4" borderId="18" xfId="0" applyNumberFormat="1" applyFont="1" applyFill="1" applyBorder="1" applyAlignment="1" applyProtection="1">
      <alignment vertical="center"/>
      <protection locked="0"/>
    </xf>
    <xf numFmtId="0" fontId="5" fillId="0" borderId="61" xfId="0" applyFont="1" applyBorder="1" applyAlignment="1" applyProtection="1">
      <alignment horizontal="center" vertical="center"/>
    </xf>
    <xf numFmtId="0" fontId="5" fillId="0" borderId="49" xfId="0" applyFont="1" applyBorder="1" applyAlignment="1" applyProtection="1">
      <alignment horizontal="center" vertical="center"/>
    </xf>
    <xf numFmtId="0" fontId="5" fillId="0" borderId="6" xfId="0" applyFont="1" applyBorder="1" applyAlignment="1" applyProtection="1">
      <alignment vertical="center"/>
    </xf>
    <xf numFmtId="0" fontId="5" fillId="0" borderId="7" xfId="0" applyFont="1" applyBorder="1" applyAlignment="1" applyProtection="1">
      <alignment vertical="center"/>
    </xf>
    <xf numFmtId="0" fontId="5" fillId="0" borderId="8" xfId="0" applyFont="1" applyBorder="1" applyAlignment="1" applyProtection="1">
      <alignment vertical="center"/>
    </xf>
    <xf numFmtId="0" fontId="5" fillId="0" borderId="2" xfId="0" applyFont="1" applyBorder="1" applyAlignment="1" applyProtection="1">
      <alignment vertical="center"/>
    </xf>
    <xf numFmtId="0" fontId="5" fillId="0" borderId="3" xfId="0" applyFont="1" applyBorder="1" applyAlignment="1" applyProtection="1">
      <alignment vertical="center"/>
    </xf>
    <xf numFmtId="0" fontId="5" fillId="0" borderId="4" xfId="0" applyFont="1" applyBorder="1" applyAlignment="1" applyProtection="1">
      <alignment vertical="center"/>
    </xf>
    <xf numFmtId="0" fontId="5" fillId="0" borderId="34" xfId="0" applyFont="1" applyBorder="1" applyAlignment="1" applyProtection="1">
      <alignment vertical="center"/>
    </xf>
    <xf numFmtId="0" fontId="5" fillId="0" borderId="18" xfId="0" applyFont="1" applyBorder="1" applyAlignment="1" applyProtection="1">
      <alignment vertical="center"/>
    </xf>
    <xf numFmtId="0" fontId="5" fillId="0" borderId="12" xfId="0" applyFont="1" applyBorder="1" applyAlignment="1" applyProtection="1">
      <alignment vertical="center"/>
    </xf>
    <xf numFmtId="185" fontId="5" fillId="4" borderId="16" xfId="3" applyNumberFormat="1" applyFont="1" applyFill="1" applyBorder="1" applyAlignment="1" applyProtection="1">
      <alignment horizontal="right" vertical="center"/>
      <protection locked="0"/>
    </xf>
    <xf numFmtId="185" fontId="5" fillId="4" borderId="45" xfId="3" applyNumberFormat="1" applyFont="1" applyFill="1" applyBorder="1" applyAlignment="1" applyProtection="1">
      <alignment horizontal="right" vertical="center"/>
      <protection locked="0"/>
    </xf>
    <xf numFmtId="0" fontId="5" fillId="2" borderId="46" xfId="0" applyFont="1" applyFill="1" applyBorder="1" applyAlignment="1" applyProtection="1">
      <alignment horizontal="center" vertical="center"/>
    </xf>
    <xf numFmtId="0" fontId="5" fillId="2" borderId="14" xfId="0" applyFont="1" applyFill="1" applyBorder="1" applyAlignment="1" applyProtection="1">
      <alignment horizontal="center" vertical="center"/>
    </xf>
    <xf numFmtId="0" fontId="3" fillId="2" borderId="46" xfId="0" applyFont="1" applyFill="1" applyBorder="1" applyAlignment="1">
      <alignment horizontal="center"/>
    </xf>
    <xf numFmtId="0" fontId="3" fillId="2" borderId="32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5" fillId="4" borderId="46" xfId="3" applyNumberFormat="1" applyFont="1" applyFill="1" applyBorder="1" applyAlignment="1" applyProtection="1">
      <alignment horizontal="center"/>
      <protection locked="0"/>
    </xf>
    <xf numFmtId="0" fontId="5" fillId="4" borderId="32" xfId="3" applyNumberFormat="1" applyFont="1" applyFill="1" applyBorder="1" applyAlignment="1" applyProtection="1">
      <alignment horizontal="center"/>
      <protection locked="0"/>
    </xf>
    <xf numFmtId="0" fontId="5" fillId="4" borderId="14" xfId="3" applyNumberFormat="1" applyFont="1" applyFill="1" applyBorder="1" applyAlignment="1" applyProtection="1">
      <alignment horizontal="center"/>
      <protection locked="0"/>
    </xf>
    <xf numFmtId="165" fontId="5" fillId="2" borderId="58" xfId="3" applyFont="1" applyFill="1" applyBorder="1" applyAlignment="1" applyProtection="1">
      <alignment horizontal="right" vertical="center"/>
    </xf>
    <xf numFmtId="165" fontId="5" fillId="2" borderId="64" xfId="3" applyFont="1" applyFill="1" applyBorder="1" applyAlignment="1" applyProtection="1">
      <alignment horizontal="right" vertical="center"/>
    </xf>
    <xf numFmtId="165" fontId="3" fillId="2" borderId="24" xfId="3" applyFont="1" applyFill="1" applyBorder="1" applyAlignment="1" applyProtection="1">
      <alignment horizontal="right" vertical="center"/>
    </xf>
    <xf numFmtId="165" fontId="3" fillId="2" borderId="54" xfId="3" applyFont="1" applyFill="1" applyBorder="1" applyAlignment="1" applyProtection="1">
      <alignment horizontal="right" vertical="center"/>
    </xf>
    <xf numFmtId="185" fontId="5" fillId="4" borderId="18" xfId="3" applyNumberFormat="1" applyFont="1" applyFill="1" applyBorder="1" applyAlignment="1" applyProtection="1">
      <alignment horizontal="right" vertical="center"/>
      <protection locked="0"/>
    </xf>
    <xf numFmtId="185" fontId="5" fillId="4" borderId="30" xfId="3" applyNumberFormat="1" applyFont="1" applyFill="1" applyBorder="1" applyAlignment="1" applyProtection="1">
      <alignment horizontal="right" vertical="center"/>
      <protection locked="0"/>
    </xf>
    <xf numFmtId="4" fontId="17" fillId="0" borderId="46" xfId="0" applyNumberFormat="1" applyFont="1" applyBorder="1" applyAlignment="1">
      <alignment horizontal="center" vertical="center"/>
    </xf>
    <xf numFmtId="4" fontId="17" fillId="0" borderId="14" xfId="0" applyNumberFormat="1" applyFont="1" applyBorder="1" applyAlignment="1">
      <alignment horizontal="center" vertical="center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>
      <alignment horizontal="center"/>
    </xf>
    <xf numFmtId="0" fontId="16" fillId="0" borderId="8" xfId="0" applyFont="1" applyBorder="1" applyAlignment="1">
      <alignment horizontal="center"/>
    </xf>
    <xf numFmtId="4" fontId="0" fillId="0" borderId="21" xfId="0" applyNumberFormat="1" applyBorder="1" applyAlignment="1">
      <alignment horizontal="center" vertical="center" readingOrder="1"/>
    </xf>
    <xf numFmtId="4" fontId="0" fillId="0" borderId="29" xfId="0" applyNumberFormat="1" applyBorder="1" applyAlignment="1">
      <alignment horizontal="center" vertical="center" readingOrder="1"/>
    </xf>
    <xf numFmtId="0" fontId="16" fillId="0" borderId="34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4" fontId="0" fillId="0" borderId="22" xfId="0" applyNumberFormat="1" applyBorder="1" applyAlignment="1">
      <alignment horizontal="center" vertical="center" readingOrder="1"/>
    </xf>
    <xf numFmtId="4" fontId="0" fillId="0" borderId="30" xfId="0" applyNumberFormat="1" applyBorder="1" applyAlignment="1">
      <alignment horizontal="center" vertical="center" readingOrder="1"/>
    </xf>
    <xf numFmtId="0" fontId="11" fillId="0" borderId="50" xfId="0" applyFont="1" applyBorder="1" applyAlignment="1" applyProtection="1">
      <alignment horizontal="center" vertical="center"/>
      <protection locked="0"/>
    </xf>
    <xf numFmtId="0" fontId="11" fillId="0" borderId="51" xfId="0" applyFont="1" applyBorder="1" applyAlignment="1" applyProtection="1">
      <alignment horizontal="center" vertical="center"/>
      <protection locked="0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23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55" xfId="0" applyFont="1" applyBorder="1" applyAlignment="1" applyProtection="1">
      <alignment horizontal="center" vertical="center"/>
      <protection locked="0"/>
    </xf>
    <xf numFmtId="0" fontId="11" fillId="0" borderId="41" xfId="0" applyFont="1" applyBorder="1" applyAlignment="1" applyProtection="1">
      <alignment horizontal="center" vertical="center"/>
      <protection locked="0"/>
    </xf>
    <xf numFmtId="0" fontId="11" fillId="0" borderId="66" xfId="0" applyFont="1" applyBorder="1" applyAlignment="1" applyProtection="1">
      <alignment horizontal="center" vertical="center"/>
      <protection locked="0"/>
    </xf>
    <xf numFmtId="0" fontId="11" fillId="0" borderId="19" xfId="0" applyFont="1" applyBorder="1" applyAlignment="1" applyProtection="1">
      <alignment horizontal="center" vertical="center"/>
      <protection locked="0"/>
    </xf>
    <xf numFmtId="0" fontId="11" fillId="0" borderId="36" xfId="0" applyFont="1" applyBorder="1" applyAlignment="1" applyProtection="1">
      <alignment horizontal="center" vertical="center" wrapText="1"/>
      <protection locked="0"/>
    </xf>
    <xf numFmtId="0" fontId="11" fillId="0" borderId="65" xfId="0" applyFont="1" applyBorder="1" applyAlignment="1" applyProtection="1">
      <alignment horizontal="center" vertical="center" wrapText="1"/>
      <protection locked="0"/>
    </xf>
    <xf numFmtId="0" fontId="11" fillId="0" borderId="15" xfId="0" applyFont="1" applyBorder="1" applyAlignment="1" applyProtection="1">
      <alignment horizontal="center" vertical="center" wrapText="1"/>
      <protection locked="0"/>
    </xf>
    <xf numFmtId="0" fontId="11" fillId="0" borderId="50" xfId="0" applyFont="1" applyBorder="1" applyAlignment="1" applyProtection="1">
      <alignment horizontal="center" vertical="center" wrapText="1"/>
      <protection locked="0"/>
    </xf>
    <xf numFmtId="0" fontId="11" fillId="0" borderId="37" xfId="0" applyFont="1" applyBorder="1" applyAlignment="1" applyProtection="1">
      <alignment horizontal="center" vertical="center" wrapText="1"/>
      <protection locked="0"/>
    </xf>
    <xf numFmtId="0" fontId="11" fillId="0" borderId="41" xfId="0" applyFont="1" applyBorder="1" applyAlignment="1" applyProtection="1">
      <alignment horizontal="center" vertical="center" wrapText="1"/>
      <protection locked="0"/>
    </xf>
    <xf numFmtId="0" fontId="11" fillId="0" borderId="19" xfId="0" applyFont="1" applyBorder="1" applyAlignment="1" applyProtection="1">
      <alignment horizontal="center" vertical="center" wrapText="1"/>
      <protection locked="0"/>
    </xf>
    <xf numFmtId="0" fontId="10" fillId="0" borderId="53" xfId="0" applyFont="1" applyBorder="1" applyAlignment="1" applyProtection="1">
      <alignment horizontal="center" vertical="center" wrapText="1"/>
      <protection locked="0"/>
    </xf>
    <xf numFmtId="0" fontId="10" fillId="0" borderId="39" xfId="0" applyFont="1" applyBorder="1" applyAlignment="1" applyProtection="1">
      <alignment horizontal="center" vertical="center" wrapText="1"/>
      <protection locked="0"/>
    </xf>
    <xf numFmtId="0" fontId="10" fillId="0" borderId="69" xfId="0" applyFont="1" applyBorder="1" applyAlignment="1" applyProtection="1">
      <alignment horizontal="center" vertical="center" wrapText="1"/>
      <protection locked="0"/>
    </xf>
    <xf numFmtId="0" fontId="10" fillId="0" borderId="71" xfId="0" applyFont="1" applyBorder="1" applyAlignment="1" applyProtection="1">
      <alignment horizontal="center" vertical="center" wrapText="1"/>
      <protection locked="0"/>
    </xf>
    <xf numFmtId="0" fontId="11" fillId="0" borderId="46" xfId="0" applyFont="1" applyBorder="1" applyAlignment="1">
      <alignment horizontal="center"/>
    </xf>
    <xf numFmtId="0" fontId="11" fillId="0" borderId="3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35" xfId="0" applyFont="1" applyBorder="1" applyAlignment="1">
      <alignment horizontal="center"/>
    </xf>
    <xf numFmtId="4" fontId="0" fillId="0" borderId="20" xfId="0" applyNumberFormat="1" applyBorder="1" applyAlignment="1">
      <alignment horizontal="center" vertical="center" readingOrder="1"/>
    </xf>
    <xf numFmtId="4" fontId="0" fillId="0" borderId="45" xfId="0" applyNumberFormat="1" applyBorder="1" applyAlignment="1">
      <alignment horizontal="center" vertical="center" readingOrder="1"/>
    </xf>
    <xf numFmtId="0" fontId="12" fillId="0" borderId="50" xfId="0" applyFont="1" applyBorder="1" applyAlignment="1" applyProtection="1">
      <alignment horizontal="center" vertical="center" wrapText="1"/>
      <protection locked="0"/>
    </xf>
    <xf numFmtId="0" fontId="12" fillId="0" borderId="51" xfId="0" applyFont="1" applyBorder="1" applyAlignment="1" applyProtection="1">
      <alignment horizontal="center" vertical="center" wrapText="1"/>
      <protection locked="0"/>
    </xf>
    <xf numFmtId="0" fontId="12" fillId="0" borderId="37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66" xfId="0" applyFont="1" applyBorder="1" applyAlignment="1" applyProtection="1">
      <alignment horizontal="center" vertical="center" wrapText="1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3" fillId="0" borderId="36" xfId="0" applyFont="1" applyBorder="1" applyAlignment="1" applyProtection="1">
      <alignment horizontal="center" vertical="center" wrapText="1"/>
      <protection locked="0"/>
    </xf>
    <xf numFmtId="0" fontId="13" fillId="0" borderId="15" xfId="0" applyFont="1" applyBorder="1" applyAlignment="1" applyProtection="1">
      <alignment horizontal="center" vertical="center" wrapText="1"/>
      <protection locked="0"/>
    </xf>
    <xf numFmtId="0" fontId="12" fillId="0" borderId="67" xfId="0" applyFont="1" applyBorder="1" applyAlignment="1" applyProtection="1">
      <alignment horizontal="center" vertical="center" wrapText="1"/>
      <protection locked="0"/>
    </xf>
    <xf numFmtId="0" fontId="12" fillId="0" borderId="38" xfId="0" applyFont="1" applyBorder="1" applyAlignment="1" applyProtection="1">
      <alignment horizontal="center" vertical="center" wrapText="1"/>
      <protection locked="0"/>
    </xf>
    <xf numFmtId="0" fontId="13" fillId="0" borderId="53" xfId="0" applyFont="1" applyBorder="1" applyAlignment="1" applyProtection="1">
      <alignment horizontal="center" vertical="center" wrapText="1"/>
      <protection locked="0"/>
    </xf>
    <xf numFmtId="0" fontId="13" fillId="0" borderId="39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39" xfId="0" applyFont="1" applyBorder="1" applyAlignment="1" applyProtection="1">
      <alignment horizontal="center" vertical="center" wrapText="1"/>
      <protection locked="0"/>
    </xf>
    <xf numFmtId="0" fontId="1" fillId="2" borderId="47" xfId="0" applyFont="1" applyFill="1" applyBorder="1" applyAlignment="1" applyProtection="1">
      <alignment horizontal="center" vertical="center"/>
    </xf>
    <xf numFmtId="0" fontId="1" fillId="2" borderId="9" xfId="0" applyFont="1" applyFill="1" applyBorder="1" applyAlignment="1" applyProtection="1">
      <alignment horizontal="center" vertical="center"/>
    </xf>
    <xf numFmtId="0" fontId="1" fillId="2" borderId="61" xfId="0" applyFont="1" applyFill="1" applyBorder="1" applyAlignment="1" applyProtection="1">
      <alignment horizontal="center" vertical="center"/>
    </xf>
    <xf numFmtId="0" fontId="1" fillId="2" borderId="13" xfId="0" applyFont="1" applyFill="1" applyBorder="1" applyAlignment="1" applyProtection="1">
      <alignment horizontal="center" vertical="center"/>
    </xf>
    <xf numFmtId="0" fontId="1" fillId="0" borderId="56" xfId="0" applyFont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57" xfId="0" applyFont="1" applyBorder="1" applyAlignment="1">
      <alignment horizontal="center" vertical="center" wrapText="1"/>
    </xf>
    <xf numFmtId="0" fontId="1" fillId="0" borderId="48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8" xfId="0" applyFont="1" applyFill="1" applyBorder="1" applyAlignment="1">
      <alignment horizontal="center" vertical="center" wrapText="1"/>
    </xf>
    <xf numFmtId="0" fontId="1" fillId="9" borderId="31" xfId="0" applyFont="1" applyFill="1" applyBorder="1" applyAlignment="1">
      <alignment horizontal="center" vertical="center" wrapText="1"/>
    </xf>
    <xf numFmtId="0" fontId="1" fillId="2" borderId="56" xfId="0" applyFont="1" applyFill="1" applyBorder="1" applyAlignment="1" applyProtection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</xf>
    <xf numFmtId="49" fontId="5" fillId="4" borderId="34" xfId="0" applyNumberFormat="1" applyFont="1" applyFill="1" applyBorder="1" applyAlignment="1" applyProtection="1">
      <alignment horizontal="left" vertical="center"/>
      <protection locked="0"/>
    </xf>
    <xf numFmtId="49" fontId="5" fillId="4" borderId="18" xfId="0" applyNumberFormat="1" applyFont="1" applyFill="1" applyBorder="1" applyAlignment="1" applyProtection="1">
      <alignment horizontal="left" vertical="center"/>
      <protection locked="0"/>
    </xf>
    <xf numFmtId="49" fontId="5" fillId="4" borderId="30" xfId="0" applyNumberFormat="1" applyFont="1" applyFill="1" applyBorder="1" applyAlignment="1" applyProtection="1">
      <alignment horizontal="left" vertical="center"/>
      <protection locked="0"/>
    </xf>
    <xf numFmtId="165" fontId="5" fillId="0" borderId="0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1" fillId="2" borderId="25" xfId="0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center" vertical="center"/>
    </xf>
    <xf numFmtId="0" fontId="11" fillId="2" borderId="34" xfId="0" applyFont="1" applyFill="1" applyBorder="1" applyAlignment="1" applyProtection="1">
      <alignment horizontal="center" vertical="center"/>
    </xf>
    <xf numFmtId="0" fontId="11" fillId="2" borderId="12" xfId="0" applyFont="1" applyFill="1" applyBorder="1" applyAlignment="1" applyProtection="1">
      <alignment horizontal="center" vertical="center"/>
    </xf>
    <xf numFmtId="0" fontId="11" fillId="2" borderId="26" xfId="0" applyFont="1" applyFill="1" applyBorder="1" applyAlignment="1" applyProtection="1">
      <alignment horizontal="center" vertical="center" wrapText="1"/>
    </xf>
    <xf numFmtId="0" fontId="11" fillId="2" borderId="31" xfId="0" applyFont="1" applyFill="1" applyBorder="1" applyAlignment="1" applyProtection="1">
      <alignment horizontal="center" vertical="center" wrapText="1"/>
    </xf>
    <xf numFmtId="166" fontId="12" fillId="0" borderId="46" xfId="2" applyFont="1" applyFill="1" applyBorder="1" applyAlignment="1" applyProtection="1">
      <alignment horizontal="center" vertical="center" wrapText="1"/>
      <protection locked="0"/>
    </xf>
    <xf numFmtId="166" fontId="12" fillId="0" borderId="32" xfId="2" applyFont="1" applyFill="1" applyBorder="1" applyAlignment="1" applyProtection="1">
      <alignment horizontal="center" vertical="center" wrapText="1"/>
      <protection locked="0"/>
    </xf>
    <xf numFmtId="166" fontId="12" fillId="0" borderId="51" xfId="2" applyFont="1" applyFill="1" applyBorder="1" applyAlignment="1" applyProtection="1">
      <alignment horizontal="center" vertical="center" wrapText="1"/>
      <protection locked="0"/>
    </xf>
    <xf numFmtId="166" fontId="12" fillId="0" borderId="14" xfId="2" applyFont="1" applyFill="1" applyBorder="1" applyAlignment="1" applyProtection="1">
      <alignment horizontal="center" vertical="center" wrapText="1"/>
      <protection locked="0"/>
    </xf>
    <xf numFmtId="49" fontId="5" fillId="4" borderId="25" xfId="0" applyNumberFormat="1" applyFont="1" applyFill="1" applyBorder="1" applyAlignment="1" applyProtection="1">
      <alignment horizontal="left" vertical="center"/>
      <protection locked="0"/>
    </xf>
    <xf numFmtId="49" fontId="5" fillId="4" borderId="16" xfId="0" applyNumberFormat="1" applyFont="1" applyFill="1" applyBorder="1" applyAlignment="1" applyProtection="1">
      <alignment horizontal="left" vertical="center"/>
      <protection locked="0"/>
    </xf>
    <xf numFmtId="49" fontId="5" fillId="4" borderId="45" xfId="0" applyNumberFormat="1" applyFont="1" applyFill="1" applyBorder="1" applyAlignment="1" applyProtection="1">
      <alignment horizontal="left" vertical="center"/>
      <protection locked="0"/>
    </xf>
    <xf numFmtId="0" fontId="14" fillId="0" borderId="25" xfId="0" applyFont="1" applyBorder="1" applyAlignment="1" applyProtection="1">
      <alignment horizontal="left" vertical="center" indent="1"/>
      <protection locked="0"/>
    </xf>
    <xf numFmtId="0" fontId="14" fillId="0" borderId="16" xfId="0" applyFont="1" applyBorder="1" applyAlignment="1" applyProtection="1">
      <alignment horizontal="left" vertical="center" indent="1"/>
      <protection locked="0"/>
    </xf>
    <xf numFmtId="0" fontId="14" fillId="0" borderId="45" xfId="0" applyFont="1" applyBorder="1" applyAlignment="1" applyProtection="1">
      <alignment horizontal="left" vertical="center" indent="1"/>
      <protection locked="0"/>
    </xf>
    <xf numFmtId="49" fontId="5" fillId="4" borderId="6" xfId="0" applyNumberFormat="1" applyFont="1" applyFill="1" applyBorder="1" applyAlignment="1" applyProtection="1">
      <alignment horizontal="left" vertical="center"/>
      <protection locked="0"/>
    </xf>
    <xf numFmtId="49" fontId="5" fillId="4" borderId="7" xfId="0" applyNumberFormat="1" applyFont="1" applyFill="1" applyBorder="1" applyAlignment="1" applyProtection="1">
      <alignment horizontal="left" vertical="center"/>
      <protection locked="0"/>
    </xf>
    <xf numFmtId="49" fontId="5" fillId="4" borderId="29" xfId="0" applyNumberFormat="1" applyFont="1" applyFill="1" applyBorder="1" applyAlignment="1" applyProtection="1">
      <alignment horizontal="left" vertical="center"/>
      <protection locked="0"/>
    </xf>
    <xf numFmtId="0" fontId="14" fillId="0" borderId="6" xfId="0" applyFont="1" applyBorder="1" applyAlignment="1" applyProtection="1">
      <alignment horizontal="left" vertical="center" indent="1"/>
      <protection locked="0"/>
    </xf>
    <xf numFmtId="0" fontId="14" fillId="0" borderId="7" xfId="0" applyFont="1" applyBorder="1" applyAlignment="1" applyProtection="1">
      <alignment horizontal="left" vertical="center" indent="1"/>
      <protection locked="0"/>
    </xf>
    <xf numFmtId="0" fontId="14" fillId="0" borderId="29" xfId="0" applyFont="1" applyBorder="1" applyAlignment="1" applyProtection="1">
      <alignment horizontal="left" vertical="center" indent="1"/>
      <protection locked="0"/>
    </xf>
    <xf numFmtId="0" fontId="11" fillId="8" borderId="56" xfId="0" applyFont="1" applyFill="1" applyBorder="1" applyAlignment="1">
      <alignment horizontal="center" vertical="center" wrapText="1"/>
    </xf>
    <xf numFmtId="0" fontId="11" fillId="8" borderId="61" xfId="0" applyFont="1" applyFill="1" applyBorder="1" applyAlignment="1">
      <alignment horizontal="center" vertical="center" wrapText="1"/>
    </xf>
    <xf numFmtId="0" fontId="11" fillId="8" borderId="25" xfId="0" applyFont="1" applyFill="1" applyBorder="1" applyAlignment="1">
      <alignment horizontal="center" vertical="center" wrapText="1"/>
    </xf>
    <xf numFmtId="0" fontId="11" fillId="8" borderId="16" xfId="0" applyFont="1" applyFill="1" applyBorder="1" applyAlignment="1">
      <alignment horizontal="center" vertical="center" wrapText="1"/>
    </xf>
    <xf numFmtId="0" fontId="11" fillId="8" borderId="45" xfId="0" applyFont="1" applyFill="1" applyBorder="1" applyAlignment="1">
      <alignment horizontal="center" vertical="center" wrapText="1"/>
    </xf>
    <xf numFmtId="0" fontId="11" fillId="8" borderId="34" xfId="0" applyFont="1" applyFill="1" applyBorder="1" applyAlignment="1">
      <alignment horizontal="center" vertical="center" wrapText="1"/>
    </xf>
    <xf numFmtId="0" fontId="11" fillId="8" borderId="18" xfId="0" applyFont="1" applyFill="1" applyBorder="1" applyAlignment="1">
      <alignment horizontal="center" vertical="center" wrapText="1"/>
    </xf>
    <xf numFmtId="0" fontId="11" fillId="8" borderId="30" xfId="0" applyFont="1" applyFill="1" applyBorder="1" applyAlignment="1">
      <alignment horizontal="center" vertical="center" wrapText="1"/>
    </xf>
    <xf numFmtId="0" fontId="11" fillId="8" borderId="57" xfId="0" applyFont="1" applyFill="1" applyBorder="1" applyAlignment="1">
      <alignment horizontal="center" vertical="center" wrapText="1"/>
    </xf>
    <xf numFmtId="0" fontId="11" fillId="8" borderId="49" xfId="0" applyFont="1" applyFill="1" applyBorder="1" applyAlignment="1">
      <alignment horizontal="center" vertical="center" wrapText="1"/>
    </xf>
    <xf numFmtId="0" fontId="11" fillId="8" borderId="26" xfId="0" applyFont="1" applyFill="1" applyBorder="1" applyAlignment="1">
      <alignment horizontal="center" vertical="center" wrapText="1"/>
    </xf>
    <xf numFmtId="0" fontId="11" fillId="8" borderId="31" xfId="0" applyFont="1" applyFill="1" applyBorder="1" applyAlignment="1">
      <alignment horizontal="center" vertical="center" wrapText="1"/>
    </xf>
    <xf numFmtId="0" fontId="12" fillId="0" borderId="23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5" xfId="0" applyFont="1" applyBorder="1" applyAlignment="1" applyProtection="1">
      <alignment horizontal="center" vertical="center" wrapText="1"/>
      <protection locked="0"/>
    </xf>
    <xf numFmtId="0" fontId="12" fillId="0" borderId="36" xfId="0" applyFont="1" applyBorder="1" applyAlignment="1" applyProtection="1">
      <alignment horizontal="center" vertical="center" wrapText="1"/>
      <protection locked="0"/>
    </xf>
  </cellXfs>
  <cellStyles count="5">
    <cellStyle name="Hipervínculo" xfId="1" builtinId="8"/>
    <cellStyle name="Millares" xfId="2" builtinId="3"/>
    <cellStyle name="Moneda" xfId="3" builtinId="4"/>
    <cellStyle name="Normal" xfId="0" builtinId="0"/>
    <cellStyle name="Porcentaje" xfId="4" builtinId="5"/>
  </cellStyles>
  <dxfs count="43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CCFF"/>
      <color rgb="FFCCECFF"/>
      <color rgb="FF99FFCC"/>
      <color rgb="FF66FFFF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2</xdr:row>
          <xdr:rowOff>19050</xdr:rowOff>
        </xdr:from>
        <xdr:to>
          <xdr:col>19</xdr:col>
          <xdr:colOff>485775</xdr:colOff>
          <xdr:row>6</xdr:row>
          <xdr:rowOff>123825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E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RESETEAR CUADRO</a:t>
              </a:r>
            </a:p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(ctrl + 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8</xdr:row>
          <xdr:rowOff>38100</xdr:rowOff>
        </xdr:from>
        <xdr:to>
          <xdr:col>19</xdr:col>
          <xdr:colOff>476250</xdr:colOff>
          <xdr:row>12</xdr:row>
          <xdr:rowOff>171450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E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(ctrl + 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485775</xdr:colOff>
          <xdr:row>8</xdr:row>
          <xdr:rowOff>47625</xdr:rowOff>
        </xdr:from>
        <xdr:to>
          <xdr:col>24</xdr:col>
          <xdr:colOff>466725</xdr:colOff>
          <xdr:row>13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OFERTA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485775</xdr:colOff>
          <xdr:row>2</xdr:row>
          <xdr:rowOff>19050</xdr:rowOff>
        </xdr:from>
        <xdr:to>
          <xdr:col>24</xdr:col>
          <xdr:colOff>495300</xdr:colOff>
          <xdr:row>6</xdr:row>
          <xdr:rowOff>123825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E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RESETEAR NUSIM</a:t>
              </a:r>
            </a:p>
            <a:p>
              <a:pPr algn="ctr" rtl="0">
                <a:defRPr sz="1000"/>
              </a:pPr>
              <a:endParaRPr lang="es-ES" sz="18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485775</xdr:colOff>
          <xdr:row>8</xdr:row>
          <xdr:rowOff>47625</xdr:rowOff>
        </xdr:from>
        <xdr:to>
          <xdr:col>27</xdr:col>
          <xdr:colOff>1095375</xdr:colOff>
          <xdr:row>13</xdr:row>
          <xdr:rowOff>9525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CONTROL OBRA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." TargetMode="External"/><Relationship Id="rId1" Type="http://schemas.openxmlformats.org/officeDocument/2006/relationships/hyperlink" Target="../OFERTAS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DJ98"/>
  <sheetViews>
    <sheetView tabSelected="1" topLeftCell="A25" zoomScale="69" zoomScaleNormal="69" workbookViewId="0">
      <selection activeCell="U75" sqref="U75:W75"/>
    </sheetView>
  </sheetViews>
  <sheetFormatPr baseColWidth="10" defaultColWidth="11.42578125" defaultRowHeight="15" x14ac:dyDescent="0.2"/>
  <cols>
    <col min="1" max="1" width="3" style="1" customWidth="1"/>
    <col min="2" max="2" width="11.85546875" style="1" customWidth="1"/>
    <col min="3" max="3" width="8.7109375" style="1" customWidth="1"/>
    <col min="4" max="4" width="5.28515625" style="1" customWidth="1"/>
    <col min="5" max="5" width="2.7109375" style="1" customWidth="1"/>
    <col min="6" max="6" width="5.28515625" style="1" customWidth="1"/>
    <col min="7" max="7" width="17.7109375" style="1" customWidth="1"/>
    <col min="8" max="8" width="5.28515625" style="1" customWidth="1"/>
    <col min="9" max="9" width="15.85546875" style="36" customWidth="1"/>
    <col min="10" max="10" width="16.7109375" style="36" bestFit="1" customWidth="1"/>
    <col min="11" max="11" width="16.28515625" style="36" bestFit="1" customWidth="1"/>
    <col min="12" max="12" width="16.7109375" style="36" bestFit="1" customWidth="1"/>
    <col min="13" max="13" width="17.140625" style="36" bestFit="1" customWidth="1"/>
    <col min="14" max="14" width="17.5703125" style="36" bestFit="1" customWidth="1"/>
    <col min="15" max="15" width="6.42578125" style="36" customWidth="1"/>
    <col min="16" max="16" width="9.5703125" style="36" customWidth="1"/>
    <col min="17" max="17" width="12.5703125" style="36" customWidth="1"/>
    <col min="18" max="18" width="14.5703125" style="4" customWidth="1"/>
    <col min="19" max="19" width="6.5703125" style="4" customWidth="1"/>
    <col min="20" max="20" width="14.5703125" style="1" customWidth="1"/>
    <col min="21" max="21" width="6.5703125" style="5" customWidth="1"/>
    <col min="22" max="22" width="12.5703125" style="1" customWidth="1"/>
    <col min="23" max="23" width="20.5703125" style="1" customWidth="1"/>
    <col min="24" max="24" width="16.5703125" style="1" customWidth="1"/>
    <col min="25" max="25" width="13.5703125" style="1" customWidth="1"/>
    <col min="26" max="26" width="17.42578125" style="1" customWidth="1"/>
    <col min="27" max="27" width="18.5703125" style="1" customWidth="1"/>
    <col min="28" max="28" width="30.5703125" style="1" customWidth="1"/>
    <col min="29" max="16384" width="11.42578125" style="1"/>
  </cols>
  <sheetData>
    <row r="1" spans="2:27" ht="15.75" thickBot="1" x14ac:dyDescent="0.25"/>
    <row r="2" spans="2:27" ht="18" customHeight="1" x14ac:dyDescent="0.2">
      <c r="B2" s="443" t="s">
        <v>88</v>
      </c>
      <c r="C2" s="444"/>
      <c r="D2" s="445"/>
      <c r="E2" s="446" t="s">
        <v>223</v>
      </c>
      <c r="F2" s="447"/>
      <c r="G2" s="448"/>
      <c r="I2" s="407" t="s">
        <v>43</v>
      </c>
      <c r="J2" s="342" t="s">
        <v>9</v>
      </c>
      <c r="K2" s="440" t="s">
        <v>60</v>
      </c>
      <c r="L2" s="342" t="s">
        <v>22</v>
      </c>
      <c r="M2" s="342" t="s">
        <v>80</v>
      </c>
      <c r="N2" s="433" t="s">
        <v>23</v>
      </c>
      <c r="O2" s="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2:27" ht="18" customHeight="1" x14ac:dyDescent="0.2">
      <c r="B3" s="412" t="s">
        <v>74</v>
      </c>
      <c r="C3" s="413"/>
      <c r="D3" s="413"/>
      <c r="E3" s="415">
        <v>4500206671</v>
      </c>
      <c r="F3" s="415"/>
      <c r="G3" s="416"/>
      <c r="I3" s="408"/>
      <c r="J3" s="343"/>
      <c r="K3" s="441"/>
      <c r="L3" s="343"/>
      <c r="M3" s="343"/>
      <c r="N3" s="434"/>
      <c r="O3" s="2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2:27" ht="18" customHeight="1" x14ac:dyDescent="0.2">
      <c r="B4" s="412" t="s">
        <v>75</v>
      </c>
      <c r="C4" s="413"/>
      <c r="D4" s="413"/>
      <c r="E4" s="415" t="s">
        <v>222</v>
      </c>
      <c r="F4" s="415"/>
      <c r="G4" s="416"/>
      <c r="I4" s="408"/>
      <c r="J4" s="343"/>
      <c r="K4" s="441"/>
      <c r="L4" s="343"/>
      <c r="M4" s="343"/>
      <c r="N4" s="434"/>
      <c r="O4" s="2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2:27" ht="18" customHeight="1" x14ac:dyDescent="0.2">
      <c r="B5" s="412" t="s">
        <v>76</v>
      </c>
      <c r="C5" s="413"/>
      <c r="D5" s="413"/>
      <c r="E5" s="415" t="s">
        <v>225</v>
      </c>
      <c r="F5" s="415"/>
      <c r="G5" s="416"/>
      <c r="I5" s="408"/>
      <c r="J5" s="343"/>
      <c r="K5" s="441"/>
      <c r="L5" s="343"/>
      <c r="M5" s="343"/>
      <c r="N5" s="434"/>
      <c r="O5" s="2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2:27" ht="18" customHeight="1" thickBot="1" x14ac:dyDescent="0.25">
      <c r="B6" s="449" t="s">
        <v>77</v>
      </c>
      <c r="C6" s="450"/>
      <c r="D6" s="450"/>
      <c r="E6" s="361" t="s">
        <v>224</v>
      </c>
      <c r="F6" s="361"/>
      <c r="G6" s="362"/>
      <c r="I6" s="409"/>
      <c r="J6" s="344"/>
      <c r="K6" s="441"/>
      <c r="L6" s="344"/>
      <c r="M6" s="344"/>
      <c r="N6" s="435"/>
      <c r="O6" s="2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2:27" ht="18" customHeight="1" thickBot="1" x14ac:dyDescent="0.25">
      <c r="B7" s="363" t="s">
        <v>25</v>
      </c>
      <c r="C7" s="332"/>
      <c r="D7" s="332"/>
      <c r="E7" s="332"/>
      <c r="F7" s="332"/>
      <c r="G7" s="332"/>
      <c r="H7" s="332"/>
      <c r="I7" s="332"/>
      <c r="J7" s="332"/>
      <c r="K7" s="332"/>
      <c r="L7" s="332"/>
      <c r="M7" s="332"/>
      <c r="N7" s="365"/>
      <c r="O7" s="3"/>
      <c r="P7" s="3"/>
      <c r="Q7" s="3"/>
      <c r="X7" s="3"/>
      <c r="Y7" s="3"/>
      <c r="Z7" s="3"/>
      <c r="AA7" s="3"/>
    </row>
    <row r="8" spans="2:27" ht="15.95" customHeight="1" x14ac:dyDescent="0.2">
      <c r="B8" s="388" t="s">
        <v>2</v>
      </c>
      <c r="C8" s="389"/>
      <c r="D8" s="389"/>
      <c r="E8" s="389"/>
      <c r="F8" s="389"/>
      <c r="G8" s="389"/>
      <c r="H8" s="436"/>
      <c r="I8" s="47">
        <v>30</v>
      </c>
      <c r="J8" s="6">
        <v>24</v>
      </c>
      <c r="K8" s="231">
        <f>I8/60*J8</f>
        <v>12</v>
      </c>
      <c r="L8" s="232">
        <v>30</v>
      </c>
      <c r="M8" s="233">
        <f>(L8/J8)-1</f>
        <v>0.25</v>
      </c>
      <c r="N8" s="231">
        <f>(I8/60)*L8</f>
        <v>15</v>
      </c>
      <c r="O8" s="3"/>
      <c r="P8" s="3"/>
      <c r="Q8" s="3"/>
      <c r="X8" s="3"/>
      <c r="Y8" s="3"/>
      <c r="Z8" s="3"/>
      <c r="AA8" s="3"/>
    </row>
    <row r="9" spans="2:27" ht="15.95" customHeight="1" x14ac:dyDescent="0.2">
      <c r="B9" s="437" t="s">
        <v>1</v>
      </c>
      <c r="C9" s="438"/>
      <c r="D9" s="438"/>
      <c r="E9" s="438"/>
      <c r="F9" s="438"/>
      <c r="G9" s="438"/>
      <c r="H9" s="439"/>
      <c r="I9" s="47">
        <v>0</v>
      </c>
      <c r="J9" s="7">
        <v>24</v>
      </c>
      <c r="K9" s="234">
        <f t="shared" ref="K9:K22" si="0">I9/60*J9</f>
        <v>0</v>
      </c>
      <c r="L9" s="235">
        <v>30</v>
      </c>
      <c r="M9" s="233">
        <f t="shared" ref="M9:M22" si="1">(L9/J9)-1</f>
        <v>0.25</v>
      </c>
      <c r="N9" s="234">
        <f t="shared" ref="N9:N22" si="2">(I9/60)*L9</f>
        <v>0</v>
      </c>
      <c r="O9" s="3"/>
      <c r="P9" s="3"/>
      <c r="Q9" s="3"/>
      <c r="X9" s="3"/>
      <c r="Y9" s="3"/>
      <c r="Z9" s="3"/>
      <c r="AA9" s="3"/>
    </row>
    <row r="10" spans="2:27" ht="15.95" customHeight="1" x14ac:dyDescent="0.2">
      <c r="B10" s="326" t="s">
        <v>3</v>
      </c>
      <c r="C10" s="327"/>
      <c r="D10" s="327"/>
      <c r="E10" s="327"/>
      <c r="F10" s="327"/>
      <c r="G10" s="327"/>
      <c r="H10" s="328"/>
      <c r="I10" s="47">
        <v>0</v>
      </c>
      <c r="J10" s="7">
        <v>24</v>
      </c>
      <c r="K10" s="234">
        <f t="shared" si="0"/>
        <v>0</v>
      </c>
      <c r="L10" s="235">
        <v>30</v>
      </c>
      <c r="M10" s="233">
        <f t="shared" si="1"/>
        <v>0.25</v>
      </c>
      <c r="N10" s="234">
        <f t="shared" si="2"/>
        <v>0</v>
      </c>
      <c r="O10" s="3"/>
      <c r="P10" s="3"/>
      <c r="Q10" s="3"/>
      <c r="X10" s="3"/>
      <c r="Y10" s="3"/>
      <c r="Z10" s="3"/>
      <c r="AA10" s="3"/>
    </row>
    <row r="11" spans="2:27" ht="15.95" customHeight="1" x14ac:dyDescent="0.2">
      <c r="B11" s="326" t="s">
        <v>16</v>
      </c>
      <c r="C11" s="327"/>
      <c r="D11" s="327"/>
      <c r="E11" s="327"/>
      <c r="F11" s="327"/>
      <c r="G11" s="327"/>
      <c r="H11" s="328"/>
      <c r="I11" s="47">
        <v>0</v>
      </c>
      <c r="J11" s="7">
        <v>26</v>
      </c>
      <c r="K11" s="234">
        <f t="shared" si="0"/>
        <v>0</v>
      </c>
      <c r="L11" s="235">
        <v>38</v>
      </c>
      <c r="M11" s="233">
        <f t="shared" si="1"/>
        <v>0.46153846153846145</v>
      </c>
      <c r="N11" s="234">
        <f t="shared" si="2"/>
        <v>0</v>
      </c>
      <c r="O11" s="3"/>
      <c r="P11" s="3"/>
      <c r="Q11" s="3"/>
      <c r="X11" s="3"/>
      <c r="Y11" s="3"/>
      <c r="Z11" s="3"/>
      <c r="AA11" s="8"/>
    </row>
    <row r="12" spans="2:27" ht="15.95" customHeight="1" x14ac:dyDescent="0.2">
      <c r="B12" s="326" t="s">
        <v>17</v>
      </c>
      <c r="C12" s="327"/>
      <c r="D12" s="327"/>
      <c r="E12" s="327"/>
      <c r="F12" s="327"/>
      <c r="G12" s="327"/>
      <c r="H12" s="328"/>
      <c r="I12" s="47">
        <v>0</v>
      </c>
      <c r="J12" s="7">
        <v>25</v>
      </c>
      <c r="K12" s="234">
        <f t="shared" si="0"/>
        <v>0</v>
      </c>
      <c r="L12" s="235">
        <v>30</v>
      </c>
      <c r="M12" s="233">
        <f t="shared" si="1"/>
        <v>0.19999999999999996</v>
      </c>
      <c r="N12" s="234">
        <f t="shared" si="2"/>
        <v>0</v>
      </c>
      <c r="O12" s="3"/>
      <c r="P12" s="3"/>
      <c r="Q12" s="3"/>
      <c r="X12" s="3"/>
      <c r="Y12" s="3"/>
      <c r="Z12" s="3"/>
      <c r="AA12" s="8"/>
    </row>
    <row r="13" spans="2:27" ht="15.95" customHeight="1" x14ac:dyDescent="0.2">
      <c r="B13" s="326" t="s">
        <v>18</v>
      </c>
      <c r="C13" s="327"/>
      <c r="D13" s="327"/>
      <c r="E13" s="327"/>
      <c r="F13" s="327"/>
      <c r="G13" s="327"/>
      <c r="H13" s="328"/>
      <c r="I13" s="47">
        <v>0</v>
      </c>
      <c r="J13" s="7">
        <v>26</v>
      </c>
      <c r="K13" s="234">
        <f t="shared" si="0"/>
        <v>0</v>
      </c>
      <c r="L13" s="235">
        <v>32</v>
      </c>
      <c r="M13" s="233">
        <f t="shared" si="1"/>
        <v>0.23076923076923084</v>
      </c>
      <c r="N13" s="234">
        <f t="shared" si="2"/>
        <v>0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</row>
    <row r="14" spans="2:27" ht="15.95" customHeight="1" thickBot="1" x14ac:dyDescent="0.25">
      <c r="B14" s="326" t="s">
        <v>19</v>
      </c>
      <c r="C14" s="327"/>
      <c r="D14" s="327"/>
      <c r="E14" s="327"/>
      <c r="F14" s="327"/>
      <c r="G14" s="327"/>
      <c r="H14" s="328"/>
      <c r="I14" s="47">
        <v>0</v>
      </c>
      <c r="J14" s="7">
        <v>27</v>
      </c>
      <c r="K14" s="234">
        <f t="shared" si="0"/>
        <v>0</v>
      </c>
      <c r="L14" s="235">
        <v>35</v>
      </c>
      <c r="M14" s="233">
        <f t="shared" si="1"/>
        <v>0.29629629629629628</v>
      </c>
      <c r="N14" s="234">
        <f t="shared" si="2"/>
        <v>0</v>
      </c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</row>
    <row r="15" spans="2:27" ht="15.95" customHeight="1" thickBot="1" x14ac:dyDescent="0.3">
      <c r="B15" s="326" t="s">
        <v>4</v>
      </c>
      <c r="C15" s="327"/>
      <c r="D15" s="327"/>
      <c r="E15" s="327"/>
      <c r="F15" s="327"/>
      <c r="G15" s="327"/>
      <c r="H15" s="328"/>
      <c r="I15" s="47">
        <v>0</v>
      </c>
      <c r="J15" s="7">
        <v>29</v>
      </c>
      <c r="K15" s="234">
        <f t="shared" si="0"/>
        <v>0</v>
      </c>
      <c r="L15" s="235">
        <v>35</v>
      </c>
      <c r="M15" s="233">
        <f t="shared" si="1"/>
        <v>0.2068965517241379</v>
      </c>
      <c r="N15" s="234">
        <f t="shared" si="2"/>
        <v>0</v>
      </c>
      <c r="O15" s="3"/>
      <c r="P15" s="317" t="s">
        <v>109</v>
      </c>
      <c r="Q15" s="318"/>
      <c r="R15" s="319"/>
      <c r="S15" s="398" t="s">
        <v>131</v>
      </c>
      <c r="T15" s="399"/>
      <c r="U15" s="399"/>
      <c r="V15" s="399"/>
      <c r="W15" s="399"/>
      <c r="X15" s="399"/>
      <c r="Y15" s="400"/>
      <c r="Z15" s="3"/>
      <c r="AA15" s="3"/>
    </row>
    <row r="16" spans="2:27" ht="15.95" customHeight="1" thickBot="1" x14ac:dyDescent="0.25">
      <c r="B16" s="326" t="s">
        <v>20</v>
      </c>
      <c r="C16" s="327"/>
      <c r="D16" s="327"/>
      <c r="E16" s="327"/>
      <c r="F16" s="327"/>
      <c r="G16" s="327"/>
      <c r="H16" s="328"/>
      <c r="I16" s="47">
        <v>0</v>
      </c>
      <c r="J16" s="7">
        <v>24</v>
      </c>
      <c r="K16" s="234">
        <f t="shared" si="0"/>
        <v>0</v>
      </c>
      <c r="L16" s="235">
        <v>30</v>
      </c>
      <c r="M16" s="233">
        <f t="shared" si="1"/>
        <v>0.25</v>
      </c>
      <c r="N16" s="234">
        <f t="shared" si="2"/>
        <v>0</v>
      </c>
      <c r="O16" s="3"/>
      <c r="P16" s="404" t="s">
        <v>110</v>
      </c>
      <c r="Q16" s="405"/>
      <c r="R16" s="406"/>
      <c r="S16" s="306" t="s">
        <v>132</v>
      </c>
      <c r="T16" s="307"/>
      <c r="U16" s="307"/>
      <c r="V16" s="307"/>
      <c r="W16" s="307"/>
      <c r="X16" s="307"/>
      <c r="Y16" s="308"/>
      <c r="Z16" s="3"/>
      <c r="AA16" s="3"/>
    </row>
    <row r="17" spans="2:36" ht="15.95" customHeight="1" thickBot="1" x14ac:dyDescent="0.25">
      <c r="B17" s="326" t="s">
        <v>24</v>
      </c>
      <c r="C17" s="327"/>
      <c r="D17" s="327"/>
      <c r="E17" s="327"/>
      <c r="F17" s="327"/>
      <c r="G17" s="327"/>
      <c r="H17" s="328"/>
      <c r="I17" s="47">
        <v>0</v>
      </c>
      <c r="J17" s="7">
        <v>24</v>
      </c>
      <c r="K17" s="234">
        <f t="shared" si="0"/>
        <v>0</v>
      </c>
      <c r="L17" s="235">
        <v>30</v>
      </c>
      <c r="M17" s="233">
        <f t="shared" si="1"/>
        <v>0.25</v>
      </c>
      <c r="N17" s="234">
        <f t="shared" si="2"/>
        <v>0</v>
      </c>
      <c r="O17" s="3"/>
      <c r="Z17" s="3"/>
      <c r="AA17" s="3"/>
    </row>
    <row r="18" spans="2:36" ht="15.95" customHeight="1" thickBot="1" x14ac:dyDescent="0.25">
      <c r="B18" s="326" t="s">
        <v>78</v>
      </c>
      <c r="C18" s="327"/>
      <c r="D18" s="327"/>
      <c r="E18" s="327"/>
      <c r="F18" s="327"/>
      <c r="G18" s="327"/>
      <c r="H18" s="328"/>
      <c r="I18" s="47">
        <v>0</v>
      </c>
      <c r="J18" s="7">
        <v>24</v>
      </c>
      <c r="K18" s="234">
        <f t="shared" si="0"/>
        <v>0</v>
      </c>
      <c r="L18" s="235">
        <v>27</v>
      </c>
      <c r="M18" s="233">
        <f t="shared" si="1"/>
        <v>0.125</v>
      </c>
      <c r="N18" s="234">
        <f t="shared" si="2"/>
        <v>0</v>
      </c>
      <c r="O18" s="3"/>
      <c r="P18" s="329" t="s">
        <v>104</v>
      </c>
      <c r="Q18" s="330"/>
      <c r="R18" s="330"/>
      <c r="S18" s="330"/>
      <c r="T18" s="330"/>
      <c r="U18" s="330"/>
      <c r="V18" s="330"/>
      <c r="W18" s="330"/>
      <c r="X18" s="330"/>
      <c r="Y18" s="331"/>
      <c r="Z18" s="70"/>
      <c r="AA18" s="3"/>
    </row>
    <row r="19" spans="2:36" ht="15.95" customHeight="1" thickBot="1" x14ac:dyDescent="0.25">
      <c r="B19" s="326" t="s">
        <v>21</v>
      </c>
      <c r="C19" s="327"/>
      <c r="D19" s="327"/>
      <c r="E19" s="327"/>
      <c r="F19" s="327"/>
      <c r="G19" s="327"/>
      <c r="H19" s="328"/>
      <c r="I19" s="47">
        <v>0</v>
      </c>
      <c r="J19" s="7">
        <v>24</v>
      </c>
      <c r="K19" s="234">
        <f t="shared" si="0"/>
        <v>0</v>
      </c>
      <c r="L19" s="235">
        <v>30</v>
      </c>
      <c r="M19" s="233">
        <f t="shared" si="1"/>
        <v>0.25</v>
      </c>
      <c r="N19" s="234">
        <f t="shared" si="2"/>
        <v>0</v>
      </c>
      <c r="O19" s="3"/>
      <c r="P19" s="17" t="s">
        <v>50</v>
      </c>
      <c r="Q19" s="332" t="s">
        <v>129</v>
      </c>
      <c r="R19" s="332"/>
      <c r="S19" s="332"/>
      <c r="T19" s="332"/>
      <c r="U19" s="332"/>
      <c r="V19" s="332" t="s">
        <v>130</v>
      </c>
      <c r="W19" s="332"/>
      <c r="X19" s="339" t="s">
        <v>92</v>
      </c>
      <c r="Y19" s="311"/>
      <c r="Z19" s="70"/>
      <c r="AA19" s="3"/>
    </row>
    <row r="20" spans="2:36" ht="15.95" customHeight="1" x14ac:dyDescent="0.2">
      <c r="B20" s="314" t="s">
        <v>102</v>
      </c>
      <c r="C20" s="315"/>
      <c r="D20" s="315"/>
      <c r="E20" s="315"/>
      <c r="F20" s="315"/>
      <c r="G20" s="315"/>
      <c r="H20" s="316"/>
      <c r="I20" s="47">
        <v>0</v>
      </c>
      <c r="J20" s="52">
        <v>24</v>
      </c>
      <c r="K20" s="234">
        <f t="shared" si="0"/>
        <v>0</v>
      </c>
      <c r="L20" s="236">
        <v>30</v>
      </c>
      <c r="M20" s="233">
        <f t="shared" si="1"/>
        <v>0.25</v>
      </c>
      <c r="N20" s="234">
        <f t="shared" si="2"/>
        <v>0</v>
      </c>
      <c r="O20" s="3"/>
      <c r="P20" s="18">
        <v>1</v>
      </c>
      <c r="Q20" s="333" t="s">
        <v>221</v>
      </c>
      <c r="R20" s="334"/>
      <c r="S20" s="334"/>
      <c r="T20" s="334"/>
      <c r="U20" s="335"/>
      <c r="V20" s="481">
        <f>Hoja1!H9</f>
        <v>0</v>
      </c>
      <c r="W20" s="482"/>
      <c r="X20" s="340">
        <f t="shared" ref="X20:X30" si="3">P20*V20</f>
        <v>0</v>
      </c>
      <c r="Y20" s="341"/>
      <c r="Z20" s="70"/>
      <c r="AA20" s="3"/>
    </row>
    <row r="21" spans="2:36" ht="15.95" customHeight="1" x14ac:dyDescent="0.2">
      <c r="B21" s="53" t="s">
        <v>103</v>
      </c>
      <c r="C21" s="54"/>
      <c r="D21" s="54"/>
      <c r="E21" s="54"/>
      <c r="F21" s="54"/>
      <c r="G21" s="54"/>
      <c r="H21" s="54"/>
      <c r="I21" s="47">
        <v>0</v>
      </c>
      <c r="J21" s="52">
        <v>24</v>
      </c>
      <c r="K21" s="234">
        <f t="shared" si="0"/>
        <v>0</v>
      </c>
      <c r="L21" s="236">
        <v>30</v>
      </c>
      <c r="M21" s="233">
        <f t="shared" si="1"/>
        <v>0.25</v>
      </c>
      <c r="N21" s="234">
        <f t="shared" si="2"/>
        <v>0</v>
      </c>
      <c r="O21" s="3"/>
      <c r="P21" s="219"/>
      <c r="Q21" s="336"/>
      <c r="R21" s="337"/>
      <c r="S21" s="337"/>
      <c r="T21" s="337"/>
      <c r="U21" s="338"/>
      <c r="V21" s="431"/>
      <c r="W21" s="432"/>
      <c r="X21" s="340">
        <f t="shared" si="3"/>
        <v>0</v>
      </c>
      <c r="Y21" s="341"/>
      <c r="Z21" s="70"/>
      <c r="AA21" s="3"/>
    </row>
    <row r="22" spans="2:36" ht="15.95" customHeight="1" thickBot="1" x14ac:dyDescent="0.25">
      <c r="B22" s="322" t="s">
        <v>98</v>
      </c>
      <c r="C22" s="323"/>
      <c r="D22" s="323"/>
      <c r="E22" s="323"/>
      <c r="F22" s="323"/>
      <c r="G22" s="323"/>
      <c r="H22" s="324"/>
      <c r="I22" s="47">
        <v>0</v>
      </c>
      <c r="J22" s="52">
        <v>26</v>
      </c>
      <c r="K22" s="237">
        <f t="shared" si="0"/>
        <v>0</v>
      </c>
      <c r="L22" s="238">
        <v>32</v>
      </c>
      <c r="M22" s="233">
        <f t="shared" si="1"/>
        <v>0.23076923076923084</v>
      </c>
      <c r="N22" s="237">
        <f t="shared" si="2"/>
        <v>0</v>
      </c>
      <c r="O22" s="3"/>
      <c r="P22" s="219"/>
      <c r="Q22" s="336"/>
      <c r="R22" s="337"/>
      <c r="S22" s="337"/>
      <c r="T22" s="337"/>
      <c r="U22" s="338"/>
      <c r="V22" s="431"/>
      <c r="W22" s="432"/>
      <c r="X22" s="340">
        <f>P22*V22</f>
        <v>0</v>
      </c>
      <c r="Y22" s="341"/>
      <c r="Z22" s="70"/>
      <c r="AA22" s="3"/>
    </row>
    <row r="23" spans="2:36" ht="15.95" customHeight="1" thickBot="1" x14ac:dyDescent="0.25">
      <c r="B23" s="9"/>
      <c r="C23" s="9"/>
      <c r="D23" s="9"/>
      <c r="E23" s="9"/>
      <c r="F23" s="9"/>
      <c r="G23" s="9"/>
      <c r="I23" s="312" t="s">
        <v>61</v>
      </c>
      <c r="J23" s="313"/>
      <c r="K23" s="239">
        <f>SUM(K8:K22)</f>
        <v>12</v>
      </c>
      <c r="L23" s="401" t="s">
        <v>59</v>
      </c>
      <c r="M23" s="402"/>
      <c r="N23" s="239">
        <f>SUM(N8:N22)</f>
        <v>15</v>
      </c>
      <c r="O23" s="3"/>
      <c r="P23" s="25"/>
      <c r="Q23" s="336"/>
      <c r="R23" s="337"/>
      <c r="S23" s="337"/>
      <c r="T23" s="337"/>
      <c r="U23" s="338"/>
      <c r="V23" s="431"/>
      <c r="W23" s="432"/>
      <c r="X23" s="340">
        <f t="shared" si="3"/>
        <v>0</v>
      </c>
      <c r="Y23" s="341"/>
      <c r="Z23" s="70"/>
      <c r="AA23" s="3"/>
    </row>
    <row r="24" spans="2:36" ht="15.95" customHeight="1" thickBot="1" x14ac:dyDescent="0.25">
      <c r="B24" s="9"/>
      <c r="C24" s="9"/>
      <c r="D24" s="9"/>
      <c r="E24" s="9"/>
      <c r="F24" s="9"/>
      <c r="G24" s="9"/>
      <c r="I24" s="312" t="s">
        <v>101</v>
      </c>
      <c r="J24" s="313"/>
      <c r="K24" s="240">
        <f>SUM(I8:I22)/60</f>
        <v>0.5</v>
      </c>
      <c r="L24" s="50"/>
      <c r="M24" s="50"/>
      <c r="N24" s="51"/>
      <c r="O24" s="3"/>
      <c r="P24" s="25"/>
      <c r="Q24" s="336"/>
      <c r="R24" s="337"/>
      <c r="S24" s="337"/>
      <c r="T24" s="337"/>
      <c r="U24" s="338"/>
      <c r="V24" s="431"/>
      <c r="W24" s="432"/>
      <c r="X24" s="340">
        <f t="shared" si="3"/>
        <v>0</v>
      </c>
      <c r="Y24" s="341"/>
      <c r="Z24" s="70"/>
      <c r="AA24" s="3"/>
    </row>
    <row r="25" spans="2:36" ht="15.95" customHeight="1" thickBot="1" x14ac:dyDescent="0.25"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25"/>
      <c r="Q25" s="336"/>
      <c r="R25" s="337"/>
      <c r="S25" s="337"/>
      <c r="T25" s="337"/>
      <c r="U25" s="338"/>
      <c r="V25" s="431"/>
      <c r="W25" s="432"/>
      <c r="X25" s="340">
        <f t="shared" si="3"/>
        <v>0</v>
      </c>
      <c r="Y25" s="341"/>
      <c r="Z25" s="70"/>
      <c r="AA25" s="3"/>
    </row>
    <row r="26" spans="2:36" ht="18" customHeight="1" thickBot="1" x14ac:dyDescent="0.25">
      <c r="B26" s="309" t="s">
        <v>35</v>
      </c>
      <c r="C26" s="310"/>
      <c r="D26" s="310"/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"/>
      <c r="P26" s="25"/>
      <c r="Q26" s="336"/>
      <c r="R26" s="337"/>
      <c r="S26" s="337"/>
      <c r="T26" s="337"/>
      <c r="U26" s="338"/>
      <c r="V26" s="431"/>
      <c r="W26" s="432"/>
      <c r="X26" s="340">
        <f t="shared" si="3"/>
        <v>0</v>
      </c>
      <c r="Y26" s="341"/>
      <c r="Z26" s="71"/>
      <c r="AA26" s="3"/>
      <c r="AC26" s="403"/>
      <c r="AD26" s="403"/>
      <c r="AE26" s="403"/>
      <c r="AF26" s="403"/>
    </row>
    <row r="27" spans="2:36" ht="15.95" customHeight="1" x14ac:dyDescent="0.2">
      <c r="B27" s="442" t="s">
        <v>11</v>
      </c>
      <c r="C27" s="428" t="s">
        <v>26</v>
      </c>
      <c r="D27" s="428" t="s">
        <v>31</v>
      </c>
      <c r="E27" s="428"/>
      <c r="F27" s="428"/>
      <c r="G27" s="428"/>
      <c r="H27" s="429"/>
      <c r="I27" s="241">
        <v>0</v>
      </c>
      <c r="J27" s="242">
        <v>1.6</v>
      </c>
      <c r="K27" s="243">
        <f>I27*J27</f>
        <v>0</v>
      </c>
      <c r="L27" s="244">
        <v>3</v>
      </c>
      <c r="M27" s="233">
        <f>(L27/J27)-1</f>
        <v>0.875</v>
      </c>
      <c r="N27" s="243">
        <f>I27*L27</f>
        <v>0</v>
      </c>
      <c r="O27" s="3"/>
      <c r="P27" s="25"/>
      <c r="Q27" s="430"/>
      <c r="R27" s="430"/>
      <c r="S27" s="430"/>
      <c r="T27" s="430"/>
      <c r="U27" s="430"/>
      <c r="V27" s="431"/>
      <c r="W27" s="432"/>
      <c r="X27" s="340">
        <f t="shared" si="3"/>
        <v>0</v>
      </c>
      <c r="Y27" s="341"/>
      <c r="Z27" s="71"/>
      <c r="AA27" s="3"/>
      <c r="AC27" s="403"/>
      <c r="AD27" s="403"/>
      <c r="AE27" s="403"/>
      <c r="AF27" s="403"/>
    </row>
    <row r="28" spans="2:36" ht="15.95" customHeight="1" x14ac:dyDescent="0.2">
      <c r="B28" s="437"/>
      <c r="C28" s="420"/>
      <c r="D28" s="420" t="s">
        <v>27</v>
      </c>
      <c r="E28" s="420"/>
      <c r="F28" s="420"/>
      <c r="G28" s="420"/>
      <c r="H28" s="421"/>
      <c r="I28" s="47">
        <v>0</v>
      </c>
      <c r="J28" s="245">
        <v>1.85</v>
      </c>
      <c r="K28" s="234">
        <f t="shared" ref="K28:K35" si="4">I28*J28</f>
        <v>0</v>
      </c>
      <c r="L28" s="246">
        <v>3.2</v>
      </c>
      <c r="M28" s="247">
        <f t="shared" ref="M28:M35" si="5">(L28/J28)-1</f>
        <v>0.72972972972972983</v>
      </c>
      <c r="N28" s="234">
        <f t="shared" ref="N28:N35" si="6">I28*L28</f>
        <v>0</v>
      </c>
      <c r="O28" s="3"/>
      <c r="P28" s="25"/>
      <c r="Q28" s="430"/>
      <c r="R28" s="430"/>
      <c r="S28" s="430"/>
      <c r="T28" s="430"/>
      <c r="U28" s="430"/>
      <c r="V28" s="431"/>
      <c r="W28" s="432"/>
      <c r="X28" s="340">
        <f t="shared" si="3"/>
        <v>0</v>
      </c>
      <c r="Y28" s="341"/>
      <c r="Z28" s="71"/>
      <c r="AA28" s="3"/>
    </row>
    <row r="29" spans="2:36" ht="15.95" customHeight="1" x14ac:dyDescent="0.2">
      <c r="B29" s="437"/>
      <c r="C29" s="420"/>
      <c r="D29" s="420" t="s">
        <v>28</v>
      </c>
      <c r="E29" s="420"/>
      <c r="F29" s="420"/>
      <c r="G29" s="420"/>
      <c r="H29" s="421"/>
      <c r="I29" s="47">
        <v>0</v>
      </c>
      <c r="J29" s="245">
        <v>2.2999999999999998</v>
      </c>
      <c r="K29" s="234">
        <f t="shared" si="4"/>
        <v>0</v>
      </c>
      <c r="L29" s="246">
        <v>3.5</v>
      </c>
      <c r="M29" s="247">
        <f t="shared" si="5"/>
        <v>0.52173913043478271</v>
      </c>
      <c r="N29" s="234">
        <f t="shared" si="6"/>
        <v>0</v>
      </c>
      <c r="O29" s="3"/>
      <c r="P29" s="219"/>
      <c r="Q29" s="430"/>
      <c r="R29" s="430"/>
      <c r="S29" s="430"/>
      <c r="T29" s="430"/>
      <c r="U29" s="430"/>
      <c r="V29" s="431"/>
      <c r="W29" s="432"/>
      <c r="X29" s="340">
        <f t="shared" si="3"/>
        <v>0</v>
      </c>
      <c r="Y29" s="341"/>
      <c r="Z29" s="71"/>
      <c r="AA29" s="3"/>
    </row>
    <row r="30" spans="2:36" ht="15.95" customHeight="1" x14ac:dyDescent="0.2">
      <c r="B30" s="437"/>
      <c r="C30" s="420"/>
      <c r="D30" s="420" t="s">
        <v>29</v>
      </c>
      <c r="E30" s="420"/>
      <c r="F30" s="420"/>
      <c r="G30" s="420"/>
      <c r="H30" s="421"/>
      <c r="I30" s="47">
        <v>0</v>
      </c>
      <c r="J30" s="245">
        <v>2.65</v>
      </c>
      <c r="K30" s="234">
        <f t="shared" si="4"/>
        <v>0</v>
      </c>
      <c r="L30" s="246">
        <v>3.85</v>
      </c>
      <c r="M30" s="247">
        <f t="shared" si="5"/>
        <v>0.4528301886792454</v>
      </c>
      <c r="N30" s="234">
        <f t="shared" si="6"/>
        <v>0</v>
      </c>
      <c r="O30" s="3"/>
      <c r="P30" s="219"/>
      <c r="Q30" s="430"/>
      <c r="R30" s="430"/>
      <c r="S30" s="430"/>
      <c r="T30" s="430"/>
      <c r="U30" s="430"/>
      <c r="V30" s="431"/>
      <c r="W30" s="432"/>
      <c r="X30" s="340">
        <f t="shared" si="3"/>
        <v>0</v>
      </c>
      <c r="Y30" s="341"/>
      <c r="Z30" s="70"/>
      <c r="AA30" s="3"/>
      <c r="AF30"/>
      <c r="AG30"/>
      <c r="AH30"/>
      <c r="AI30"/>
      <c r="AJ30"/>
    </row>
    <row r="31" spans="2:36" ht="15.95" customHeight="1" x14ac:dyDescent="0.2">
      <c r="B31" s="437"/>
      <c r="C31" s="304" t="s">
        <v>13</v>
      </c>
      <c r="D31" s="422" t="s">
        <v>32</v>
      </c>
      <c r="E31" s="422"/>
      <c r="F31" s="422"/>
      <c r="G31" s="422"/>
      <c r="H31" s="423"/>
      <c r="I31" s="47">
        <v>0</v>
      </c>
      <c r="J31" s="245">
        <v>1.5</v>
      </c>
      <c r="K31" s="234">
        <f t="shared" si="4"/>
        <v>0</v>
      </c>
      <c r="L31" s="246">
        <v>2.2000000000000002</v>
      </c>
      <c r="M31" s="247">
        <f t="shared" si="5"/>
        <v>0.46666666666666679</v>
      </c>
      <c r="N31" s="234">
        <f t="shared" si="6"/>
        <v>0</v>
      </c>
      <c r="O31" s="3"/>
      <c r="P31" s="219"/>
      <c r="Q31" s="430"/>
      <c r="R31" s="430"/>
      <c r="S31" s="430"/>
      <c r="T31" s="430"/>
      <c r="U31" s="430"/>
      <c r="V31" s="431"/>
      <c r="W31" s="432"/>
      <c r="X31" s="340">
        <f>P31*V31</f>
        <v>0</v>
      </c>
      <c r="Y31" s="341"/>
      <c r="Z31" s="70"/>
      <c r="AA31" s="3"/>
      <c r="AF31"/>
      <c r="AG31"/>
      <c r="AH31"/>
      <c r="AI31"/>
      <c r="AJ31"/>
    </row>
    <row r="32" spans="2:36" ht="15.95" customHeight="1" x14ac:dyDescent="0.2">
      <c r="B32" s="437"/>
      <c r="C32" s="424" t="s">
        <v>30</v>
      </c>
      <c r="D32" s="424" t="s">
        <v>31</v>
      </c>
      <c r="E32" s="424"/>
      <c r="F32" s="424"/>
      <c r="G32" s="424"/>
      <c r="H32" s="425"/>
      <c r="I32" s="47">
        <v>0</v>
      </c>
      <c r="J32" s="245">
        <v>1.5</v>
      </c>
      <c r="K32" s="234">
        <f t="shared" si="4"/>
        <v>0</v>
      </c>
      <c r="L32" s="246">
        <v>2.2000000000000002</v>
      </c>
      <c r="M32" s="247">
        <f t="shared" si="5"/>
        <v>0.46666666666666679</v>
      </c>
      <c r="N32" s="234">
        <f t="shared" si="6"/>
        <v>0</v>
      </c>
      <c r="O32" s="3"/>
      <c r="P32" s="219"/>
      <c r="Q32" s="430"/>
      <c r="R32" s="430"/>
      <c r="S32" s="430"/>
      <c r="T32" s="430"/>
      <c r="U32" s="430"/>
      <c r="V32" s="431"/>
      <c r="W32" s="432"/>
      <c r="X32" s="340">
        <f>P32*V32</f>
        <v>0</v>
      </c>
      <c r="Y32" s="341"/>
      <c r="Z32" s="70"/>
      <c r="AA32" s="3"/>
      <c r="AF32"/>
      <c r="AG32"/>
      <c r="AH32"/>
      <c r="AI32"/>
      <c r="AJ32"/>
    </row>
    <row r="33" spans="2:36" ht="15.95" customHeight="1" x14ac:dyDescent="0.2">
      <c r="B33" s="437"/>
      <c r="C33" s="424"/>
      <c r="D33" s="424" t="s">
        <v>27</v>
      </c>
      <c r="E33" s="424"/>
      <c r="F33" s="424"/>
      <c r="G33" s="424"/>
      <c r="H33" s="425"/>
      <c r="I33" s="47">
        <v>12</v>
      </c>
      <c r="J33" s="245">
        <v>2.5</v>
      </c>
      <c r="K33" s="234">
        <f t="shared" si="4"/>
        <v>30</v>
      </c>
      <c r="L33" s="246">
        <v>3.3</v>
      </c>
      <c r="M33" s="247">
        <f t="shared" si="5"/>
        <v>0.31999999999999984</v>
      </c>
      <c r="N33" s="234">
        <f t="shared" si="6"/>
        <v>39.599999999999994</v>
      </c>
      <c r="O33" s="3"/>
      <c r="P33" s="219"/>
      <c r="Q33" s="336"/>
      <c r="R33" s="337"/>
      <c r="S33" s="337"/>
      <c r="T33" s="337"/>
      <c r="U33" s="338"/>
      <c r="V33" s="431"/>
      <c r="W33" s="432"/>
      <c r="X33" s="340">
        <f t="shared" ref="X33:X42" si="7">P33*V33</f>
        <v>0</v>
      </c>
      <c r="Y33" s="341"/>
      <c r="Z33" s="70"/>
      <c r="AA33" s="3"/>
      <c r="AF33"/>
      <c r="AG33"/>
      <c r="AH33"/>
      <c r="AI33"/>
      <c r="AJ33"/>
    </row>
    <row r="34" spans="2:36" ht="15.95" customHeight="1" x14ac:dyDescent="0.2">
      <c r="B34" s="383" t="s">
        <v>12</v>
      </c>
      <c r="C34" s="426" t="s">
        <v>33</v>
      </c>
      <c r="D34" s="427"/>
      <c r="E34" s="427"/>
      <c r="F34" s="427"/>
      <c r="G34" s="427"/>
      <c r="H34" s="427"/>
      <c r="I34" s="47">
        <v>0</v>
      </c>
      <c r="J34" s="245">
        <v>1.4</v>
      </c>
      <c r="K34" s="234">
        <f t="shared" si="4"/>
        <v>0</v>
      </c>
      <c r="L34" s="246">
        <v>1.7</v>
      </c>
      <c r="M34" s="247">
        <f t="shared" si="5"/>
        <v>0.21428571428571441</v>
      </c>
      <c r="N34" s="234">
        <f t="shared" si="6"/>
        <v>0</v>
      </c>
      <c r="O34" s="3"/>
      <c r="P34" s="219"/>
      <c r="Q34" s="336"/>
      <c r="R34" s="337"/>
      <c r="S34" s="337"/>
      <c r="T34" s="337"/>
      <c r="U34" s="338"/>
      <c r="V34" s="431"/>
      <c r="W34" s="432"/>
      <c r="X34" s="340">
        <f t="shared" si="7"/>
        <v>0</v>
      </c>
      <c r="Y34" s="341"/>
      <c r="Z34" s="70"/>
      <c r="AA34" s="3"/>
      <c r="AF34"/>
      <c r="AG34"/>
      <c r="AH34"/>
      <c r="AI34"/>
      <c r="AJ34"/>
    </row>
    <row r="35" spans="2:36" ht="15.95" customHeight="1" thickBot="1" x14ac:dyDescent="0.25">
      <c r="B35" s="384"/>
      <c r="C35" s="320" t="s">
        <v>34</v>
      </c>
      <c r="D35" s="321"/>
      <c r="E35" s="321"/>
      <c r="F35" s="321"/>
      <c r="G35" s="321"/>
      <c r="H35" s="321"/>
      <c r="I35" s="47">
        <v>0</v>
      </c>
      <c r="J35" s="248">
        <v>1.82</v>
      </c>
      <c r="K35" s="234">
        <f t="shared" si="4"/>
        <v>0</v>
      </c>
      <c r="L35" s="249">
        <v>2.21</v>
      </c>
      <c r="M35" s="250">
        <f t="shared" si="5"/>
        <v>0.21428571428571419</v>
      </c>
      <c r="N35" s="234">
        <f t="shared" si="6"/>
        <v>0</v>
      </c>
      <c r="O35" s="3"/>
      <c r="P35" s="219"/>
      <c r="Q35" s="336"/>
      <c r="R35" s="337"/>
      <c r="S35" s="337"/>
      <c r="T35" s="337"/>
      <c r="U35" s="338"/>
      <c r="V35" s="431"/>
      <c r="W35" s="432"/>
      <c r="X35" s="340">
        <f t="shared" si="7"/>
        <v>0</v>
      </c>
      <c r="Y35" s="341"/>
      <c r="Z35" s="70"/>
      <c r="AA35" s="3"/>
      <c r="AF35"/>
      <c r="AG35"/>
      <c r="AH35"/>
      <c r="AI35"/>
      <c r="AJ35"/>
    </row>
    <row r="36" spans="2:36" ht="15.95" customHeight="1" thickBot="1" x14ac:dyDescent="0.25">
      <c r="B36" s="3"/>
      <c r="C36" s="3"/>
      <c r="D36" s="3"/>
      <c r="E36" s="3"/>
      <c r="F36" s="3"/>
      <c r="G36" s="3"/>
      <c r="H36" s="3"/>
      <c r="I36" s="391" t="s">
        <v>62</v>
      </c>
      <c r="J36" s="392"/>
      <c r="K36" s="239">
        <f>SUM(K27:K35)</f>
        <v>30</v>
      </c>
      <c r="L36" s="401" t="s">
        <v>59</v>
      </c>
      <c r="M36" s="401"/>
      <c r="N36" s="239">
        <f>SUM(N27:N35)</f>
        <v>39.599999999999994</v>
      </c>
      <c r="O36" s="3"/>
      <c r="P36" s="219"/>
      <c r="Q36" s="336"/>
      <c r="R36" s="337"/>
      <c r="S36" s="337"/>
      <c r="T36" s="337"/>
      <c r="U36" s="338"/>
      <c r="V36" s="431"/>
      <c r="W36" s="432"/>
      <c r="X36" s="340">
        <f t="shared" si="7"/>
        <v>0</v>
      </c>
      <c r="Y36" s="341"/>
      <c r="Z36" s="70"/>
      <c r="AA36" s="3"/>
      <c r="AF36"/>
      <c r="AG36"/>
      <c r="AH36"/>
      <c r="AI36"/>
      <c r="AJ36"/>
    </row>
    <row r="37" spans="2:36" ht="15.95" customHeight="1" thickBot="1" x14ac:dyDescent="0.25">
      <c r="B37" s="325"/>
      <c r="C37" s="325"/>
      <c r="D37" s="325"/>
      <c r="E37" s="325"/>
      <c r="F37" s="325"/>
      <c r="G37" s="325"/>
      <c r="H37" s="325"/>
      <c r="I37" s="325"/>
      <c r="J37" s="325"/>
      <c r="K37" s="325"/>
      <c r="L37" s="325"/>
      <c r="M37" s="325"/>
      <c r="N37" s="325"/>
      <c r="O37" s="3"/>
      <c r="P37" s="219"/>
      <c r="Q37" s="336"/>
      <c r="R37" s="337"/>
      <c r="S37" s="337"/>
      <c r="T37" s="337"/>
      <c r="U37" s="338"/>
      <c r="V37" s="431"/>
      <c r="W37" s="432"/>
      <c r="X37" s="340">
        <f t="shared" si="7"/>
        <v>0</v>
      </c>
      <c r="Y37" s="341"/>
      <c r="Z37" s="70"/>
      <c r="AA37" s="3"/>
      <c r="AF37"/>
      <c r="AG37"/>
      <c r="AH37"/>
      <c r="AI37"/>
      <c r="AJ37"/>
    </row>
    <row r="38" spans="2:36" ht="18" customHeight="1" thickBot="1" x14ac:dyDescent="0.25">
      <c r="B38" s="309" t="s">
        <v>36</v>
      </c>
      <c r="C38" s="310"/>
      <c r="D38" s="310"/>
      <c r="E38" s="310"/>
      <c r="F38" s="310"/>
      <c r="G38" s="310"/>
      <c r="H38" s="310"/>
      <c r="I38" s="310"/>
      <c r="J38" s="310"/>
      <c r="K38" s="310"/>
      <c r="L38" s="310"/>
      <c r="M38" s="310"/>
      <c r="N38" s="311"/>
      <c r="O38" s="3"/>
      <c r="P38" s="219"/>
      <c r="Q38" s="336"/>
      <c r="R38" s="337"/>
      <c r="S38" s="337"/>
      <c r="T38" s="337"/>
      <c r="U38" s="338"/>
      <c r="V38" s="431"/>
      <c r="W38" s="432"/>
      <c r="X38" s="340">
        <f t="shared" si="7"/>
        <v>0</v>
      </c>
      <c r="Y38" s="341"/>
      <c r="Z38" s="70"/>
      <c r="AA38" s="3"/>
      <c r="AF38"/>
      <c r="AG38"/>
      <c r="AH38"/>
      <c r="AI38"/>
      <c r="AJ38"/>
    </row>
    <row r="39" spans="2:36" ht="15.95" customHeight="1" x14ac:dyDescent="0.2">
      <c r="B39" s="388" t="s">
        <v>6</v>
      </c>
      <c r="C39" s="389"/>
      <c r="D39" s="389"/>
      <c r="E39" s="389"/>
      <c r="F39" s="389"/>
      <c r="G39" s="389"/>
      <c r="H39" s="390"/>
      <c r="I39" s="61">
        <v>0</v>
      </c>
      <c r="J39" s="251">
        <v>0</v>
      </c>
      <c r="K39" s="234">
        <f>I39*J39</f>
        <v>0</v>
      </c>
      <c r="L39" s="252">
        <f>J39*(1+M39)</f>
        <v>0</v>
      </c>
      <c r="M39" s="253">
        <v>0.05</v>
      </c>
      <c r="N39" s="234">
        <f>I39*L39</f>
        <v>0</v>
      </c>
      <c r="O39" s="3"/>
      <c r="P39" s="219"/>
      <c r="Q39" s="336"/>
      <c r="R39" s="337"/>
      <c r="S39" s="337"/>
      <c r="T39" s="337"/>
      <c r="U39" s="338"/>
      <c r="V39" s="431"/>
      <c r="W39" s="432"/>
      <c r="X39" s="340">
        <f t="shared" si="7"/>
        <v>0</v>
      </c>
      <c r="Y39" s="341"/>
      <c r="Z39" s="70"/>
      <c r="AA39" s="3"/>
      <c r="AF39"/>
      <c r="AG39"/>
      <c r="AH39"/>
      <c r="AI39"/>
      <c r="AJ39"/>
    </row>
    <row r="40" spans="2:36" ht="15.95" customHeight="1" x14ac:dyDescent="0.2">
      <c r="B40" s="326" t="s">
        <v>37</v>
      </c>
      <c r="C40" s="327"/>
      <c r="D40" s="327"/>
      <c r="E40" s="327"/>
      <c r="F40" s="327"/>
      <c r="G40" s="327"/>
      <c r="H40" s="394"/>
      <c r="I40" s="61">
        <v>0</v>
      </c>
      <c r="J40" s="254">
        <v>0</v>
      </c>
      <c r="K40" s="234">
        <f t="shared" ref="K40:K47" si="8">I40*J40</f>
        <v>0</v>
      </c>
      <c r="L40" s="255">
        <f>J40*(1+M40)</f>
        <v>0</v>
      </c>
      <c r="M40" s="256">
        <v>0.05</v>
      </c>
      <c r="N40" s="234">
        <f t="shared" ref="N40:N47" si="9">I40*L40</f>
        <v>0</v>
      </c>
      <c r="O40" s="3"/>
      <c r="P40" s="219"/>
      <c r="Q40" s="336"/>
      <c r="R40" s="337"/>
      <c r="S40" s="337"/>
      <c r="T40" s="337"/>
      <c r="U40" s="338"/>
      <c r="V40" s="431"/>
      <c r="W40" s="432"/>
      <c r="X40" s="340">
        <f t="shared" si="7"/>
        <v>0</v>
      </c>
      <c r="Y40" s="341"/>
      <c r="Z40" s="70"/>
      <c r="AA40" s="3"/>
      <c r="AF40"/>
      <c r="AG40"/>
      <c r="AH40"/>
      <c r="AI40"/>
      <c r="AJ40"/>
    </row>
    <row r="41" spans="2:36" ht="15.95" customHeight="1" x14ac:dyDescent="0.2">
      <c r="B41" s="393" t="s">
        <v>38</v>
      </c>
      <c r="C41" s="375"/>
      <c r="D41" s="375"/>
      <c r="E41" s="375"/>
      <c r="F41" s="375"/>
      <c r="G41" s="375"/>
      <c r="H41" s="376"/>
      <c r="I41" s="61">
        <v>0</v>
      </c>
      <c r="J41" s="254">
        <v>0</v>
      </c>
      <c r="K41" s="234">
        <f t="shared" si="8"/>
        <v>0</v>
      </c>
      <c r="L41" s="255">
        <f t="shared" ref="L41:L47" si="10">J41*(1+M41)</f>
        <v>0</v>
      </c>
      <c r="M41" s="256">
        <v>0.05</v>
      </c>
      <c r="N41" s="234">
        <f t="shared" si="9"/>
        <v>0</v>
      </c>
      <c r="O41" s="3"/>
      <c r="P41" s="219"/>
      <c r="Q41" s="430"/>
      <c r="R41" s="430"/>
      <c r="S41" s="430"/>
      <c r="T41" s="430"/>
      <c r="U41" s="430"/>
      <c r="V41" s="431"/>
      <c r="W41" s="432"/>
      <c r="X41" s="340">
        <f t="shared" si="7"/>
        <v>0</v>
      </c>
      <c r="Y41" s="341"/>
      <c r="Z41" s="70"/>
      <c r="AA41" s="3"/>
      <c r="AF41"/>
      <c r="AG41"/>
      <c r="AH41"/>
      <c r="AI41"/>
      <c r="AJ41"/>
    </row>
    <row r="42" spans="2:36" ht="15.95" customHeight="1" x14ac:dyDescent="0.2">
      <c r="B42" s="377" t="s">
        <v>39</v>
      </c>
      <c r="C42" s="378"/>
      <c r="D42" s="328" t="s">
        <v>40</v>
      </c>
      <c r="E42" s="375"/>
      <c r="F42" s="375"/>
      <c r="G42" s="375"/>
      <c r="H42" s="376"/>
      <c r="I42" s="61">
        <v>0</v>
      </c>
      <c r="J42" s="254">
        <v>0</v>
      </c>
      <c r="K42" s="234">
        <f t="shared" si="8"/>
        <v>0</v>
      </c>
      <c r="L42" s="255">
        <f t="shared" si="10"/>
        <v>0</v>
      </c>
      <c r="M42" s="256">
        <v>0.05</v>
      </c>
      <c r="N42" s="234">
        <f t="shared" si="9"/>
        <v>0</v>
      </c>
      <c r="O42" s="3"/>
      <c r="P42" s="219"/>
      <c r="Q42" s="430"/>
      <c r="R42" s="430"/>
      <c r="S42" s="430"/>
      <c r="T42" s="430"/>
      <c r="U42" s="430"/>
      <c r="V42" s="431"/>
      <c r="W42" s="432"/>
      <c r="X42" s="340">
        <f t="shared" si="7"/>
        <v>0</v>
      </c>
      <c r="Y42" s="341"/>
      <c r="Z42" s="70"/>
      <c r="AA42" s="3"/>
      <c r="AF42"/>
      <c r="AG42"/>
      <c r="AH42"/>
      <c r="AI42"/>
      <c r="AJ42"/>
    </row>
    <row r="43" spans="2:36" ht="15.95" customHeight="1" x14ac:dyDescent="0.2">
      <c r="B43" s="379"/>
      <c r="C43" s="380"/>
      <c r="D43" s="328" t="s">
        <v>0</v>
      </c>
      <c r="E43" s="375"/>
      <c r="F43" s="375"/>
      <c r="G43" s="375"/>
      <c r="H43" s="376"/>
      <c r="I43" s="61">
        <v>0</v>
      </c>
      <c r="J43" s="254">
        <v>0</v>
      </c>
      <c r="K43" s="234">
        <f t="shared" si="8"/>
        <v>0</v>
      </c>
      <c r="L43" s="255">
        <f t="shared" si="10"/>
        <v>0</v>
      </c>
      <c r="M43" s="256">
        <v>0.05</v>
      </c>
      <c r="N43" s="234">
        <f t="shared" si="9"/>
        <v>0</v>
      </c>
      <c r="O43" s="3"/>
      <c r="P43" s="219"/>
      <c r="Q43" s="430"/>
      <c r="R43" s="430"/>
      <c r="S43" s="430"/>
      <c r="T43" s="430"/>
      <c r="U43" s="430"/>
      <c r="V43" s="431"/>
      <c r="W43" s="432"/>
      <c r="X43" s="340">
        <f>P43*V43</f>
        <v>0</v>
      </c>
      <c r="Y43" s="341"/>
      <c r="Z43" s="70"/>
      <c r="AA43" s="3"/>
      <c r="AF43"/>
      <c r="AG43"/>
      <c r="AH43"/>
      <c r="AI43"/>
      <c r="AJ43"/>
    </row>
    <row r="44" spans="2:36" ht="15.95" customHeight="1" x14ac:dyDescent="0.2">
      <c r="B44" s="379"/>
      <c r="C44" s="380"/>
      <c r="D44" s="328" t="s">
        <v>41</v>
      </c>
      <c r="E44" s="375"/>
      <c r="F44" s="375"/>
      <c r="G44" s="375"/>
      <c r="H44" s="376"/>
      <c r="I44" s="61">
        <v>0</v>
      </c>
      <c r="J44" s="254">
        <v>0</v>
      </c>
      <c r="K44" s="234">
        <f t="shared" si="8"/>
        <v>0</v>
      </c>
      <c r="L44" s="255">
        <f t="shared" si="10"/>
        <v>0</v>
      </c>
      <c r="M44" s="256">
        <v>0.05</v>
      </c>
      <c r="N44" s="234">
        <f t="shared" si="9"/>
        <v>0</v>
      </c>
      <c r="O44" s="3"/>
      <c r="P44" s="219"/>
      <c r="Q44" s="430"/>
      <c r="R44" s="430"/>
      <c r="S44" s="430"/>
      <c r="T44" s="430"/>
      <c r="U44" s="430"/>
      <c r="V44" s="431"/>
      <c r="W44" s="432"/>
      <c r="X44" s="340">
        <f>P44*V44</f>
        <v>0</v>
      </c>
      <c r="Y44" s="341"/>
      <c r="Z44" s="70"/>
      <c r="AA44" s="3"/>
      <c r="AF44"/>
      <c r="AG44"/>
      <c r="AH44"/>
      <c r="AI44"/>
      <c r="AJ44"/>
    </row>
    <row r="45" spans="2:36" ht="15.95" customHeight="1" thickBot="1" x14ac:dyDescent="0.25">
      <c r="B45" s="379"/>
      <c r="C45" s="380"/>
      <c r="D45" s="328" t="s">
        <v>42</v>
      </c>
      <c r="E45" s="375"/>
      <c r="F45" s="375"/>
      <c r="G45" s="375"/>
      <c r="H45" s="376"/>
      <c r="I45" s="61">
        <v>0</v>
      </c>
      <c r="J45" s="254">
        <v>0</v>
      </c>
      <c r="K45" s="234">
        <f t="shared" si="8"/>
        <v>0</v>
      </c>
      <c r="L45" s="255">
        <f t="shared" si="10"/>
        <v>0</v>
      </c>
      <c r="M45" s="256">
        <v>0.05</v>
      </c>
      <c r="N45" s="234">
        <f t="shared" si="9"/>
        <v>0</v>
      </c>
      <c r="O45" s="3"/>
      <c r="P45" s="287"/>
      <c r="Q45" s="469"/>
      <c r="R45" s="469"/>
      <c r="S45" s="469"/>
      <c r="T45" s="469"/>
      <c r="U45" s="469"/>
      <c r="V45" s="495"/>
      <c r="W45" s="496"/>
      <c r="X45" s="491">
        <f>P45*V45</f>
        <v>0</v>
      </c>
      <c r="Y45" s="492"/>
      <c r="Z45" s="70"/>
      <c r="AA45" s="3"/>
      <c r="AF45"/>
      <c r="AG45"/>
      <c r="AH45"/>
      <c r="AI45"/>
      <c r="AJ45"/>
    </row>
    <row r="46" spans="2:36" ht="15.95" customHeight="1" thickBot="1" x14ac:dyDescent="0.25">
      <c r="B46" s="381"/>
      <c r="C46" s="382"/>
      <c r="D46" s="328" t="s">
        <v>7</v>
      </c>
      <c r="E46" s="375"/>
      <c r="F46" s="375"/>
      <c r="G46" s="375"/>
      <c r="H46" s="376"/>
      <c r="I46" s="61">
        <v>0</v>
      </c>
      <c r="J46" s="254">
        <v>0</v>
      </c>
      <c r="K46" s="234">
        <f t="shared" si="8"/>
        <v>0</v>
      </c>
      <c r="L46" s="255">
        <f t="shared" si="10"/>
        <v>0</v>
      </c>
      <c r="M46" s="256">
        <v>0.05</v>
      </c>
      <c r="N46" s="234">
        <f t="shared" si="9"/>
        <v>0</v>
      </c>
      <c r="O46" s="3"/>
      <c r="P46" s="288"/>
      <c r="Q46" s="288"/>
      <c r="R46" s="288"/>
      <c r="S46" s="395" t="s">
        <v>96</v>
      </c>
      <c r="T46" s="396"/>
      <c r="U46" s="396"/>
      <c r="V46" s="396"/>
      <c r="W46" s="397"/>
      <c r="X46" s="493">
        <f>SUM(X19:Y45)</f>
        <v>0</v>
      </c>
      <c r="Y46" s="494"/>
      <c r="Z46" s="70"/>
      <c r="AA46" s="3"/>
      <c r="AF46"/>
      <c r="AG46"/>
      <c r="AH46"/>
      <c r="AI46"/>
      <c r="AJ46"/>
    </row>
    <row r="47" spans="2:36" ht="15.95" customHeight="1" thickBot="1" x14ac:dyDescent="0.25">
      <c r="B47" s="385" t="s">
        <v>7</v>
      </c>
      <c r="C47" s="386"/>
      <c r="D47" s="386"/>
      <c r="E47" s="386"/>
      <c r="F47" s="386"/>
      <c r="G47" s="386"/>
      <c r="H47" s="387"/>
      <c r="I47" s="62">
        <v>0</v>
      </c>
      <c r="J47" s="302">
        <v>0</v>
      </c>
      <c r="K47" s="303">
        <f t="shared" si="8"/>
        <v>0</v>
      </c>
      <c r="L47" s="255">
        <f t="shared" si="10"/>
        <v>0</v>
      </c>
      <c r="M47" s="257">
        <v>0.05</v>
      </c>
      <c r="N47" s="234">
        <f t="shared" si="9"/>
        <v>0</v>
      </c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70"/>
      <c r="AA47" s="3"/>
      <c r="AB47" s="9"/>
      <c r="AF47"/>
      <c r="AG47"/>
      <c r="AH47"/>
      <c r="AI47"/>
      <c r="AJ47"/>
    </row>
    <row r="48" spans="2:36" ht="15.95" customHeight="1" thickBot="1" x14ac:dyDescent="0.25">
      <c r="B48" s="12"/>
      <c r="C48" s="13"/>
      <c r="D48" s="13"/>
      <c r="E48" s="13"/>
      <c r="F48" s="13"/>
      <c r="G48" s="13"/>
      <c r="H48" s="13"/>
      <c r="I48" s="373" t="s">
        <v>63</v>
      </c>
      <c r="J48" s="374"/>
      <c r="K48" s="239">
        <f>SUM(K39:K47)</f>
        <v>0</v>
      </c>
      <c r="L48" s="419" t="s">
        <v>59</v>
      </c>
      <c r="M48" s="419"/>
      <c r="N48" s="239">
        <f>SUM(N39:N47)</f>
        <v>0</v>
      </c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70"/>
      <c r="AA48" s="3"/>
      <c r="AB48" s="9"/>
      <c r="AF48"/>
      <c r="AG48"/>
      <c r="AH48"/>
      <c r="AI48"/>
      <c r="AJ48"/>
    </row>
    <row r="49" spans="1:114" s="16" customFormat="1" ht="18" customHeight="1" thickBot="1" x14ac:dyDescent="0.25">
      <c r="A49" s="46"/>
      <c r="B49" s="14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3"/>
      <c r="P49" s="309" t="s">
        <v>57</v>
      </c>
      <c r="Q49" s="310"/>
      <c r="R49" s="310"/>
      <c r="S49" s="310"/>
      <c r="T49" s="310"/>
      <c r="U49" s="310"/>
      <c r="V49" s="310"/>
      <c r="W49" s="310"/>
      <c r="X49" s="310"/>
      <c r="Y49" s="311"/>
      <c r="Z49" s="70"/>
      <c r="AA49" s="3"/>
      <c r="AB49" s="9"/>
      <c r="AC49" s="1"/>
      <c r="AD49" s="1"/>
      <c r="AE49" s="1"/>
      <c r="AF49"/>
      <c r="AG49"/>
      <c r="AH49"/>
      <c r="AI49"/>
      <c r="AJ49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</row>
    <row r="50" spans="1:114" ht="18" customHeight="1" thickBot="1" x14ac:dyDescent="0.25">
      <c r="B50" s="363" t="s">
        <v>8</v>
      </c>
      <c r="C50" s="332"/>
      <c r="D50" s="332"/>
      <c r="E50" s="332"/>
      <c r="F50" s="332"/>
      <c r="G50" s="332"/>
      <c r="H50" s="332"/>
      <c r="I50" s="364"/>
      <c r="J50" s="364"/>
      <c r="K50" s="364"/>
      <c r="L50" s="364"/>
      <c r="M50" s="364"/>
      <c r="N50" s="365"/>
      <c r="O50" s="3"/>
      <c r="P50" s="17" t="s">
        <v>50</v>
      </c>
      <c r="Q50" s="75" t="s">
        <v>15</v>
      </c>
      <c r="R50" s="75" t="s">
        <v>51</v>
      </c>
      <c r="S50" s="75" t="s">
        <v>14</v>
      </c>
      <c r="T50" s="75" t="s">
        <v>52</v>
      </c>
      <c r="U50" s="75" t="s">
        <v>14</v>
      </c>
      <c r="V50" s="75" t="s">
        <v>53</v>
      </c>
      <c r="W50" s="76" t="s">
        <v>5</v>
      </c>
      <c r="X50" s="277" t="s">
        <v>55</v>
      </c>
      <c r="Y50" s="277" t="s">
        <v>100</v>
      </c>
      <c r="Z50" s="71"/>
      <c r="AA50" s="48" t="s">
        <v>8</v>
      </c>
      <c r="AB50" s="49" t="s">
        <v>56</v>
      </c>
      <c r="AF50"/>
      <c r="AG50"/>
      <c r="AH50"/>
      <c r="AI50"/>
      <c r="AJ50"/>
    </row>
    <row r="51" spans="1:114" ht="15.95" customHeight="1" x14ac:dyDescent="0.2">
      <c r="B51" s="475" t="s">
        <v>94</v>
      </c>
      <c r="C51" s="476"/>
      <c r="D51" s="476"/>
      <c r="E51" s="476"/>
      <c r="F51" s="476"/>
      <c r="G51" s="476"/>
      <c r="H51" s="477"/>
      <c r="I51" s="55"/>
      <c r="J51" s="258">
        <f>X72</f>
        <v>109.82806200000003</v>
      </c>
      <c r="K51" s="10"/>
      <c r="L51" s="259"/>
      <c r="M51" s="45">
        <v>0.15</v>
      </c>
      <c r="N51" s="231">
        <f>J51*(1+M51)</f>
        <v>126.30227130000003</v>
      </c>
      <c r="O51" s="3"/>
      <c r="P51" s="18">
        <v>1</v>
      </c>
      <c r="Q51" s="19" t="s">
        <v>15</v>
      </c>
      <c r="R51" s="20">
        <v>1255</v>
      </c>
      <c r="S51" s="19" t="s">
        <v>14</v>
      </c>
      <c r="T51" s="20">
        <v>730</v>
      </c>
      <c r="U51" s="19" t="s">
        <v>14</v>
      </c>
      <c r="V51" s="41">
        <v>6</v>
      </c>
      <c r="W51" s="289" t="s">
        <v>97</v>
      </c>
      <c r="X51" s="290">
        <f>P51*(R51/1000*T51/1000*V51*IF(W51="A/C",8*AB$51,(IF(W51="AISI 304",8*AB$52,(IF(W51="AISI 316",8*AB$53,(IF(W51="ALUMINIO",2.7*AB$54,IF(W51="ANODIZADO",2.7*AB$55,IF(W51="AISI 304 BRILLO",8*AB$56,IF(W51="AISI 304 SATIN",8*AB$57,IF(W51="AISI 316 BRI SAT",8*AB$58,0))))))))))))</f>
        <v>109.82806200000003</v>
      </c>
      <c r="Y51" s="291">
        <f>P51*(R51/1000*T51/1000*V51*IF(W51="A/C",8,(IF(W51="AISI 304",8,(IF(W51="AISI 316",8,(IF(W51="ALUMINIO",2.7,IF(W51="AISI 304 BRILLO",8,IF(W51="AISI 304 SATIN",8,IF(W51="AISI 316 BRI SAT",8,IF(W51="ANODIZADO",2.7,0))))))))))))</f>
        <v>14.841630000000002</v>
      </c>
      <c r="Z51" s="71"/>
      <c r="AA51" s="21" t="s">
        <v>13</v>
      </c>
      <c r="AB51" s="22">
        <v>1.6</v>
      </c>
      <c r="AF51"/>
      <c r="AG51"/>
      <c r="AH51"/>
      <c r="AI51"/>
      <c r="AJ51"/>
    </row>
    <row r="52" spans="1:114" ht="15.95" customHeight="1" thickBot="1" x14ac:dyDescent="0.25">
      <c r="B52" s="57" t="s">
        <v>93</v>
      </c>
      <c r="C52" s="58"/>
      <c r="D52" s="58"/>
      <c r="E52" s="58"/>
      <c r="F52" s="58"/>
      <c r="G52" s="58"/>
      <c r="H52" s="59"/>
      <c r="I52" s="56"/>
      <c r="J52" s="260">
        <f>X46</f>
        <v>0</v>
      </c>
      <c r="K52" s="11"/>
      <c r="L52" s="261"/>
      <c r="M52" s="44">
        <v>0.15</v>
      </c>
      <c r="N52" s="237">
        <f>J52*(1+M52)</f>
        <v>0</v>
      </c>
      <c r="O52" s="3"/>
      <c r="P52" s="25"/>
      <c r="Q52" s="26" t="s">
        <v>15</v>
      </c>
      <c r="R52" s="27">
        <v>0</v>
      </c>
      <c r="S52" s="26" t="s">
        <v>14</v>
      </c>
      <c r="T52" s="27">
        <v>0</v>
      </c>
      <c r="U52" s="26" t="s">
        <v>14</v>
      </c>
      <c r="V52" s="42">
        <v>0</v>
      </c>
      <c r="W52" s="292"/>
      <c r="X52" s="293">
        <f t="shared" ref="X52:X71" si="11">P52*(R52/1000*T52/1000*V52*IF(W52="A/C",8*AB$51,(IF(W52="AISI 304",8*AB$52,(IF(W52="AISI 316",8*AB$53,(IF(W52="ALUMINIO",2.7*AB$54,IF(W52="ANODIZADO",2.7*AB$55,IF(W52="AISI 304 BRILLO",8*AB$56,IF(W52="AISI 304 SATIN",8*AB$57,IF(W52="AISI 316 BRI SAT",8*AB$58,0))))))))))))</f>
        <v>0</v>
      </c>
      <c r="Y52" s="294">
        <f t="shared" ref="Y52:Y71" si="12">P52*(R52/1000*T52/1000*V52*IF(W52="A/C",8,(IF(W52="AISI 304",8,(IF(W52="AISI 316",8,(IF(W52="ALUMINIO",2.7,IF(W52="AISI 304 BRILLO",8,IF(W52="AISI 304 SATIN",8,IF(W52="AISI 316 BRI SAT",8,IF(W52="ANODIZADO",2.7,0))))))))))))</f>
        <v>0</v>
      </c>
      <c r="Z52" s="71"/>
      <c r="AA52" s="28" t="s">
        <v>84</v>
      </c>
      <c r="AB52" s="29">
        <v>4.5</v>
      </c>
      <c r="AF52"/>
      <c r="AG52"/>
      <c r="AH52"/>
      <c r="AI52"/>
      <c r="AJ52"/>
    </row>
    <row r="53" spans="1:114" ht="15.95" customHeight="1" x14ac:dyDescent="0.2">
      <c r="B53" s="472" t="s">
        <v>44</v>
      </c>
      <c r="C53" s="473"/>
      <c r="D53" s="473"/>
      <c r="E53" s="473"/>
      <c r="F53" s="473"/>
      <c r="G53" s="473"/>
      <c r="H53" s="474"/>
      <c r="I53" s="23">
        <v>0</v>
      </c>
      <c r="J53" s="262">
        <v>0</v>
      </c>
      <c r="K53" s="243">
        <f t="shared" ref="K53:K58" si="13">I53*J53</f>
        <v>0</v>
      </c>
      <c r="L53" s="263">
        <f t="shared" ref="L53:L58" si="14">J53*(1+M53)</f>
        <v>0</v>
      </c>
      <c r="M53" s="24">
        <v>0.05</v>
      </c>
      <c r="N53" s="243">
        <f t="shared" ref="N53:N58" si="15">I53*L53</f>
        <v>0</v>
      </c>
      <c r="O53" s="3"/>
      <c r="P53" s="25"/>
      <c r="Q53" s="26" t="s">
        <v>15</v>
      </c>
      <c r="R53" s="27">
        <v>0</v>
      </c>
      <c r="S53" s="26" t="s">
        <v>14</v>
      </c>
      <c r="T53" s="27">
        <v>0</v>
      </c>
      <c r="U53" s="26" t="s">
        <v>14</v>
      </c>
      <c r="V53" s="42">
        <v>0</v>
      </c>
      <c r="W53" s="292"/>
      <c r="X53" s="293">
        <f t="shared" si="11"/>
        <v>0</v>
      </c>
      <c r="Y53" s="294">
        <f t="shared" si="12"/>
        <v>0</v>
      </c>
      <c r="Z53" s="71"/>
      <c r="AA53" s="28" t="s">
        <v>85</v>
      </c>
      <c r="AB53" s="29">
        <v>5.6</v>
      </c>
      <c r="AF53"/>
      <c r="AG53"/>
      <c r="AH53"/>
      <c r="AI53"/>
      <c r="AJ53"/>
    </row>
    <row r="54" spans="1:114" ht="15.95" customHeight="1" x14ac:dyDescent="0.2">
      <c r="B54" s="472" t="s">
        <v>49</v>
      </c>
      <c r="C54" s="473"/>
      <c r="D54" s="473"/>
      <c r="E54" s="473"/>
      <c r="F54" s="473"/>
      <c r="G54" s="473"/>
      <c r="H54" s="474"/>
      <c r="I54" s="23">
        <v>0</v>
      </c>
      <c r="J54" s="264">
        <v>0</v>
      </c>
      <c r="K54" s="243">
        <f t="shared" si="13"/>
        <v>0</v>
      </c>
      <c r="L54" s="255">
        <f t="shared" si="14"/>
        <v>0</v>
      </c>
      <c r="M54" s="30">
        <v>0.05</v>
      </c>
      <c r="N54" s="243">
        <f t="shared" si="15"/>
        <v>0</v>
      </c>
      <c r="O54" s="3"/>
      <c r="P54" s="25"/>
      <c r="Q54" s="26" t="s">
        <v>15</v>
      </c>
      <c r="R54" s="27">
        <v>0</v>
      </c>
      <c r="S54" s="26" t="s">
        <v>14</v>
      </c>
      <c r="T54" s="27">
        <v>0</v>
      </c>
      <c r="U54" s="26" t="s">
        <v>14</v>
      </c>
      <c r="V54" s="42">
        <v>0</v>
      </c>
      <c r="W54" s="292"/>
      <c r="X54" s="293">
        <f t="shared" si="11"/>
        <v>0</v>
      </c>
      <c r="Y54" s="294">
        <f t="shared" si="12"/>
        <v>0</v>
      </c>
      <c r="Z54" s="71"/>
      <c r="AA54" s="28" t="s">
        <v>54</v>
      </c>
      <c r="AB54" s="29">
        <v>5.65</v>
      </c>
      <c r="AF54"/>
      <c r="AG54"/>
      <c r="AH54"/>
      <c r="AI54"/>
      <c r="AJ54"/>
    </row>
    <row r="55" spans="1:114" ht="15.95" customHeight="1" x14ac:dyDescent="0.2">
      <c r="B55" s="472" t="s">
        <v>45</v>
      </c>
      <c r="C55" s="473"/>
      <c r="D55" s="473"/>
      <c r="E55" s="473"/>
      <c r="F55" s="473"/>
      <c r="G55" s="473"/>
      <c r="H55" s="474"/>
      <c r="I55" s="23">
        <v>0</v>
      </c>
      <c r="J55" s="264">
        <v>0</v>
      </c>
      <c r="K55" s="243">
        <f t="shared" si="13"/>
        <v>0</v>
      </c>
      <c r="L55" s="255">
        <f t="shared" si="14"/>
        <v>0</v>
      </c>
      <c r="M55" s="30">
        <v>0.05</v>
      </c>
      <c r="N55" s="243">
        <f t="shared" si="15"/>
        <v>0</v>
      </c>
      <c r="O55" s="3"/>
      <c r="P55" s="25"/>
      <c r="Q55" s="26" t="s">
        <v>15</v>
      </c>
      <c r="R55" s="27">
        <v>0</v>
      </c>
      <c r="S55" s="26" t="s">
        <v>14</v>
      </c>
      <c r="T55" s="27">
        <v>0</v>
      </c>
      <c r="U55" s="26" t="s">
        <v>14</v>
      </c>
      <c r="V55" s="42">
        <v>0</v>
      </c>
      <c r="W55" s="292"/>
      <c r="X55" s="293">
        <f t="shared" si="11"/>
        <v>0</v>
      </c>
      <c r="Y55" s="294">
        <f t="shared" si="12"/>
        <v>0</v>
      </c>
      <c r="Z55" s="71"/>
      <c r="AA55" s="28" t="s">
        <v>97</v>
      </c>
      <c r="AB55" s="29">
        <v>7.4</v>
      </c>
      <c r="AF55"/>
      <c r="AG55"/>
      <c r="AH55"/>
      <c r="AI55"/>
      <c r="AJ55"/>
    </row>
    <row r="56" spans="1:114" ht="15.95" customHeight="1" x14ac:dyDescent="0.2">
      <c r="B56" s="472" t="s">
        <v>46</v>
      </c>
      <c r="C56" s="473"/>
      <c r="D56" s="473"/>
      <c r="E56" s="473"/>
      <c r="F56" s="473"/>
      <c r="G56" s="473"/>
      <c r="H56" s="474"/>
      <c r="I56" s="23">
        <v>0</v>
      </c>
      <c r="J56" s="264">
        <v>0</v>
      </c>
      <c r="K56" s="243">
        <f t="shared" si="13"/>
        <v>0</v>
      </c>
      <c r="L56" s="255">
        <f t="shared" si="14"/>
        <v>0</v>
      </c>
      <c r="M56" s="30">
        <v>0.05</v>
      </c>
      <c r="N56" s="243">
        <f t="shared" si="15"/>
        <v>0</v>
      </c>
      <c r="O56" s="3"/>
      <c r="P56" s="25"/>
      <c r="Q56" s="26" t="s">
        <v>15</v>
      </c>
      <c r="R56" s="27">
        <v>0</v>
      </c>
      <c r="S56" s="26" t="s">
        <v>14</v>
      </c>
      <c r="T56" s="27">
        <v>0</v>
      </c>
      <c r="U56" s="26" t="s">
        <v>14</v>
      </c>
      <c r="V56" s="42">
        <v>0</v>
      </c>
      <c r="W56" s="292"/>
      <c r="X56" s="293">
        <f t="shared" si="11"/>
        <v>0</v>
      </c>
      <c r="Y56" s="294">
        <f t="shared" si="12"/>
        <v>0</v>
      </c>
      <c r="Z56" s="71"/>
      <c r="AA56" s="28" t="s">
        <v>86</v>
      </c>
      <c r="AB56" s="29">
        <v>5.3</v>
      </c>
      <c r="AF56"/>
      <c r="AG56"/>
      <c r="AH56"/>
      <c r="AI56"/>
      <c r="AJ56"/>
    </row>
    <row r="57" spans="1:114" ht="15.95" customHeight="1" x14ac:dyDescent="0.2">
      <c r="B57" s="472" t="s">
        <v>48</v>
      </c>
      <c r="C57" s="473"/>
      <c r="D57" s="473"/>
      <c r="E57" s="473"/>
      <c r="F57" s="473"/>
      <c r="G57" s="473"/>
      <c r="H57" s="474"/>
      <c r="I57" s="265">
        <v>0</v>
      </c>
      <c r="J57" s="266">
        <v>6</v>
      </c>
      <c r="K57" s="243">
        <f t="shared" si="13"/>
        <v>0</v>
      </c>
      <c r="L57" s="267">
        <f t="shared" si="14"/>
        <v>6.3000000000000007</v>
      </c>
      <c r="M57" s="30">
        <v>0.05</v>
      </c>
      <c r="N57" s="243">
        <f t="shared" si="15"/>
        <v>0</v>
      </c>
      <c r="O57" s="3"/>
      <c r="P57" s="25"/>
      <c r="Q57" s="26" t="s">
        <v>15</v>
      </c>
      <c r="R57" s="27">
        <v>0</v>
      </c>
      <c r="S57" s="26" t="s">
        <v>14</v>
      </c>
      <c r="T57" s="27">
        <v>0</v>
      </c>
      <c r="U57" s="26" t="s">
        <v>14</v>
      </c>
      <c r="V57" s="42">
        <v>0</v>
      </c>
      <c r="W57" s="292"/>
      <c r="X57" s="293">
        <f t="shared" si="11"/>
        <v>0</v>
      </c>
      <c r="Y57" s="294">
        <f t="shared" si="12"/>
        <v>0</v>
      </c>
      <c r="Z57" s="71"/>
      <c r="AA57" s="28" t="s">
        <v>87</v>
      </c>
      <c r="AB57" s="29">
        <v>4.8</v>
      </c>
      <c r="AF57"/>
      <c r="AG57"/>
      <c r="AH57"/>
      <c r="AI57"/>
      <c r="AJ57"/>
    </row>
    <row r="58" spans="1:114" ht="15.95" customHeight="1" thickBot="1" x14ac:dyDescent="0.25">
      <c r="B58" s="478" t="s">
        <v>47</v>
      </c>
      <c r="C58" s="479"/>
      <c r="D58" s="479"/>
      <c r="E58" s="479"/>
      <c r="F58" s="479"/>
      <c r="G58" s="479"/>
      <c r="H58" s="480"/>
      <c r="I58" s="268">
        <v>0</v>
      </c>
      <c r="J58" s="269">
        <v>9</v>
      </c>
      <c r="K58" s="243">
        <f t="shared" si="13"/>
        <v>0</v>
      </c>
      <c r="L58" s="270">
        <f t="shared" si="14"/>
        <v>9.4500000000000011</v>
      </c>
      <c r="M58" s="31">
        <v>0.05</v>
      </c>
      <c r="N58" s="271">
        <f t="shared" si="15"/>
        <v>0</v>
      </c>
      <c r="O58" s="32"/>
      <c r="P58" s="25"/>
      <c r="Q58" s="26" t="s">
        <v>15</v>
      </c>
      <c r="R58" s="27">
        <v>0</v>
      </c>
      <c r="S58" s="26" t="s">
        <v>14</v>
      </c>
      <c r="T58" s="27">
        <v>0</v>
      </c>
      <c r="U58" s="26" t="s">
        <v>14</v>
      </c>
      <c r="V58" s="42">
        <v>0</v>
      </c>
      <c r="W58" s="292"/>
      <c r="X58" s="293">
        <f t="shared" si="11"/>
        <v>0</v>
      </c>
      <c r="Y58" s="294">
        <f t="shared" si="12"/>
        <v>0</v>
      </c>
      <c r="Z58" s="71"/>
      <c r="AA58" s="305" t="s">
        <v>99</v>
      </c>
      <c r="AB58" s="33">
        <v>6.2</v>
      </c>
      <c r="AF58"/>
      <c r="AG58"/>
      <c r="AH58"/>
      <c r="AI58"/>
      <c r="AJ58"/>
    </row>
    <row r="59" spans="1:114" s="35" customFormat="1" ht="15.95" customHeight="1" thickBot="1" x14ac:dyDescent="0.25">
      <c r="B59" s="403"/>
      <c r="C59" s="403"/>
      <c r="D59" s="403"/>
      <c r="E59" s="403"/>
      <c r="F59" s="403"/>
      <c r="G59" s="403"/>
      <c r="H59" s="403"/>
      <c r="I59" s="312" t="s">
        <v>64</v>
      </c>
      <c r="J59" s="414"/>
      <c r="K59" s="239">
        <f>SUM(K53:K58)+J51+J52</f>
        <v>109.82806200000003</v>
      </c>
      <c r="L59" s="310" t="s">
        <v>59</v>
      </c>
      <c r="M59" s="311"/>
      <c r="N59" s="34">
        <f>SUM(N51:N58)</f>
        <v>126.30227130000003</v>
      </c>
      <c r="O59" s="32"/>
      <c r="P59" s="25"/>
      <c r="Q59" s="26" t="s">
        <v>15</v>
      </c>
      <c r="R59" s="27">
        <v>0</v>
      </c>
      <c r="S59" s="26" t="s">
        <v>14</v>
      </c>
      <c r="T59" s="27">
        <v>0</v>
      </c>
      <c r="U59" s="26" t="s">
        <v>14</v>
      </c>
      <c r="V59" s="42">
        <v>0</v>
      </c>
      <c r="W59" s="292"/>
      <c r="X59" s="293">
        <f t="shared" si="11"/>
        <v>0</v>
      </c>
      <c r="Y59" s="294">
        <f t="shared" si="12"/>
        <v>0</v>
      </c>
      <c r="Z59" s="72"/>
      <c r="AA59"/>
      <c r="AB59" s="9"/>
      <c r="AC59" s="1"/>
      <c r="AD59" s="1"/>
      <c r="AF59"/>
      <c r="AG59"/>
      <c r="AH59"/>
      <c r="AI59"/>
      <c r="AJ59"/>
    </row>
    <row r="60" spans="1:114" ht="15.95" customHeight="1" thickBot="1" x14ac:dyDescent="0.25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25"/>
      <c r="Q60" s="295" t="s">
        <v>15</v>
      </c>
      <c r="R60" s="27">
        <v>0</v>
      </c>
      <c r="S60" s="26" t="s">
        <v>14</v>
      </c>
      <c r="T60" s="27">
        <v>0</v>
      </c>
      <c r="U60" s="26" t="s">
        <v>14</v>
      </c>
      <c r="V60" s="42">
        <v>0</v>
      </c>
      <c r="W60" s="292"/>
      <c r="X60" s="293">
        <f t="shared" si="11"/>
        <v>0</v>
      </c>
      <c r="Y60" s="294">
        <f t="shared" si="12"/>
        <v>0</v>
      </c>
      <c r="Z60" s="72"/>
      <c r="AA60"/>
      <c r="AB60" s="9"/>
      <c r="AF60"/>
      <c r="AG60"/>
      <c r="AH60"/>
      <c r="AI60"/>
      <c r="AJ60"/>
    </row>
    <row r="61" spans="1:114" ht="18" customHeight="1" thickBot="1" x14ac:dyDescent="0.25">
      <c r="B61" s="329" t="s">
        <v>107</v>
      </c>
      <c r="C61" s="330"/>
      <c r="D61" s="330"/>
      <c r="E61" s="330"/>
      <c r="F61" s="330"/>
      <c r="G61" s="331"/>
      <c r="H61" s="3"/>
      <c r="I61" s="3"/>
      <c r="J61" s="3"/>
      <c r="K61" s="3"/>
      <c r="L61" s="3"/>
      <c r="M61" s="3"/>
      <c r="N61" s="3"/>
      <c r="O61" s="3"/>
      <c r="P61" s="25"/>
      <c r="Q61" s="26" t="s">
        <v>15</v>
      </c>
      <c r="R61" s="27">
        <v>0</v>
      </c>
      <c r="S61" s="26" t="s">
        <v>14</v>
      </c>
      <c r="T61" s="27">
        <v>0</v>
      </c>
      <c r="U61" s="26" t="s">
        <v>14</v>
      </c>
      <c r="V61" s="42">
        <v>0</v>
      </c>
      <c r="W61" s="292"/>
      <c r="X61" s="293">
        <f t="shared" si="11"/>
        <v>0</v>
      </c>
      <c r="Y61" s="294">
        <f t="shared" si="12"/>
        <v>0</v>
      </c>
      <c r="Z61" s="71"/>
      <c r="AB61" s="9"/>
      <c r="AF61"/>
      <c r="AG61"/>
      <c r="AH61"/>
      <c r="AI61"/>
      <c r="AJ61"/>
    </row>
    <row r="62" spans="1:114" ht="18" customHeight="1" thickBot="1" x14ac:dyDescent="0.25">
      <c r="B62" s="395"/>
      <c r="C62" s="396"/>
      <c r="D62" s="396"/>
      <c r="E62" s="396"/>
      <c r="F62" s="396"/>
      <c r="G62" s="397"/>
      <c r="I62" s="309" t="s">
        <v>58</v>
      </c>
      <c r="J62" s="310"/>
      <c r="K62" s="310"/>
      <c r="L62" s="310"/>
      <c r="M62" s="310"/>
      <c r="N62" s="311"/>
      <c r="O62" s="9"/>
      <c r="P62" s="25"/>
      <c r="Q62" s="296" t="s">
        <v>15</v>
      </c>
      <c r="R62" s="27">
        <v>0</v>
      </c>
      <c r="S62" s="26" t="s">
        <v>14</v>
      </c>
      <c r="T62" s="27">
        <v>0</v>
      </c>
      <c r="U62" s="26" t="s">
        <v>14</v>
      </c>
      <c r="V62" s="42">
        <v>0</v>
      </c>
      <c r="W62" s="292"/>
      <c r="X62" s="293">
        <f t="shared" si="11"/>
        <v>0</v>
      </c>
      <c r="Y62" s="294">
        <f t="shared" si="12"/>
        <v>0</v>
      </c>
      <c r="Z62" s="73"/>
      <c r="AA62" s="9"/>
      <c r="AF62"/>
      <c r="AG62"/>
      <c r="AH62"/>
      <c r="AI62"/>
      <c r="AJ62"/>
    </row>
    <row r="63" spans="1:114" ht="18" customHeight="1" x14ac:dyDescent="0.2">
      <c r="B63" s="345" t="s">
        <v>108</v>
      </c>
      <c r="C63" s="464"/>
      <c r="D63" s="464"/>
      <c r="E63" s="464"/>
      <c r="F63" s="346"/>
      <c r="G63" s="465">
        <v>0</v>
      </c>
      <c r="I63" s="417" t="s">
        <v>65</v>
      </c>
      <c r="J63" s="418"/>
      <c r="K63" s="418"/>
      <c r="L63" s="418"/>
      <c r="M63" s="272">
        <f>IF(ISERROR(N63/M71),"-",N63/M71)</f>
        <v>1.6583539711477351E-2</v>
      </c>
      <c r="N63" s="243">
        <f>N23-K23</f>
        <v>3</v>
      </c>
      <c r="O63" s="9"/>
      <c r="P63" s="25"/>
      <c r="Q63" s="26" t="s">
        <v>15</v>
      </c>
      <c r="R63" s="27">
        <v>0</v>
      </c>
      <c r="S63" s="26" t="s">
        <v>14</v>
      </c>
      <c r="T63" s="27">
        <v>0</v>
      </c>
      <c r="U63" s="26" t="s">
        <v>14</v>
      </c>
      <c r="V63" s="42">
        <v>0</v>
      </c>
      <c r="W63" s="292"/>
      <c r="X63" s="293">
        <f t="shared" si="11"/>
        <v>0</v>
      </c>
      <c r="Y63" s="294">
        <f t="shared" si="12"/>
        <v>0</v>
      </c>
      <c r="Z63" s="73"/>
      <c r="AA63" s="9"/>
      <c r="AF63"/>
      <c r="AG63"/>
      <c r="AH63"/>
      <c r="AI63"/>
      <c r="AJ63"/>
    </row>
    <row r="64" spans="1:114" ht="18" customHeight="1" thickBot="1" x14ac:dyDescent="0.25">
      <c r="B64" s="347"/>
      <c r="C64" s="457"/>
      <c r="D64" s="457"/>
      <c r="E64" s="457"/>
      <c r="F64" s="348"/>
      <c r="G64" s="466"/>
      <c r="I64" s="410" t="s">
        <v>66</v>
      </c>
      <c r="J64" s="411"/>
      <c r="K64" s="411"/>
      <c r="L64" s="411"/>
      <c r="M64" s="273">
        <f>IF(ISERROR(N64/M71),"-",N64/M71)</f>
        <v>5.3067327076727497E-2</v>
      </c>
      <c r="N64" s="243">
        <f>N36-K36</f>
        <v>9.5999999999999943</v>
      </c>
      <c r="O64" s="9"/>
      <c r="P64" s="25"/>
      <c r="Q64" s="26" t="s">
        <v>15</v>
      </c>
      <c r="R64" s="27">
        <v>0</v>
      </c>
      <c r="S64" s="26" t="s">
        <v>14</v>
      </c>
      <c r="T64" s="27">
        <v>0</v>
      </c>
      <c r="U64" s="26" t="s">
        <v>14</v>
      </c>
      <c r="V64" s="42">
        <v>0</v>
      </c>
      <c r="W64" s="292"/>
      <c r="X64" s="293">
        <f t="shared" si="11"/>
        <v>0</v>
      </c>
      <c r="Y64" s="294">
        <f t="shared" si="12"/>
        <v>0</v>
      </c>
      <c r="Z64" s="73"/>
      <c r="AA64" s="9"/>
      <c r="AF64"/>
      <c r="AG64"/>
      <c r="AH64"/>
      <c r="AI64"/>
      <c r="AJ64"/>
    </row>
    <row r="65" spans="2:36" ht="18" customHeight="1" x14ac:dyDescent="0.2">
      <c r="B65" s="276"/>
      <c r="C65" s="276"/>
      <c r="D65" s="276"/>
      <c r="E65" s="276"/>
      <c r="F65" s="276"/>
      <c r="G65" s="467" t="str">
        <f>IF(ISERROR(N75/G63),"-",N75/G63)</f>
        <v>-</v>
      </c>
      <c r="I65" s="410" t="s">
        <v>67</v>
      </c>
      <c r="J65" s="411"/>
      <c r="K65" s="411"/>
      <c r="L65" s="411"/>
      <c r="M65" s="273">
        <f>IF(ISERROR(N65/M71),"-",N65/M71)</f>
        <v>0</v>
      </c>
      <c r="N65" s="243">
        <f>N48-K48</f>
        <v>0</v>
      </c>
      <c r="O65" s="9"/>
      <c r="P65" s="25"/>
      <c r="Q65" s="26" t="s">
        <v>15</v>
      </c>
      <c r="R65" s="27">
        <v>0</v>
      </c>
      <c r="S65" s="26" t="s">
        <v>14</v>
      </c>
      <c r="T65" s="27">
        <v>0</v>
      </c>
      <c r="U65" s="26" t="s">
        <v>14</v>
      </c>
      <c r="V65" s="42">
        <v>0</v>
      </c>
      <c r="W65" s="292"/>
      <c r="X65" s="293">
        <f t="shared" si="11"/>
        <v>0</v>
      </c>
      <c r="Y65" s="294">
        <f t="shared" si="12"/>
        <v>0</v>
      </c>
      <c r="Z65" s="73"/>
      <c r="AA65" s="9"/>
      <c r="AF65"/>
      <c r="AG65"/>
      <c r="AH65"/>
      <c r="AI65"/>
      <c r="AJ65"/>
    </row>
    <row r="66" spans="2:36" ht="18" customHeight="1" thickBot="1" x14ac:dyDescent="0.25">
      <c r="B66" s="276"/>
      <c r="C66" s="276"/>
      <c r="D66" s="276"/>
      <c r="E66" s="276"/>
      <c r="F66" s="276"/>
      <c r="G66" s="468"/>
      <c r="I66" s="410" t="s">
        <v>68</v>
      </c>
      <c r="J66" s="411"/>
      <c r="K66" s="411"/>
      <c r="L66" s="411"/>
      <c r="M66" s="273">
        <f>IF(ISERROR(N66/M71),"-",N66/M71)</f>
        <v>9.1066901380579823E-2</v>
      </c>
      <c r="N66" s="243">
        <f>N59-K59</f>
        <v>16.474209299999998</v>
      </c>
      <c r="O66" s="9"/>
      <c r="P66" s="25"/>
      <c r="Q66" s="26" t="s">
        <v>15</v>
      </c>
      <c r="R66" s="27">
        <v>0</v>
      </c>
      <c r="S66" s="26" t="s">
        <v>14</v>
      </c>
      <c r="T66" s="27">
        <v>0</v>
      </c>
      <c r="U66" s="26" t="s">
        <v>14</v>
      </c>
      <c r="V66" s="42">
        <v>0</v>
      </c>
      <c r="W66" s="292"/>
      <c r="X66" s="293">
        <f t="shared" si="11"/>
        <v>0</v>
      </c>
      <c r="Y66" s="294">
        <f t="shared" si="12"/>
        <v>0</v>
      </c>
      <c r="Z66" s="73"/>
      <c r="AA66" s="9"/>
    </row>
    <row r="67" spans="2:36" ht="18" customHeight="1" thickBot="1" x14ac:dyDescent="0.25">
      <c r="I67" s="470" t="s">
        <v>69</v>
      </c>
      <c r="J67" s="471"/>
      <c r="K67" s="471"/>
      <c r="L67" s="471"/>
      <c r="M67" s="274">
        <v>0.04</v>
      </c>
      <c r="N67" s="243">
        <f>M67*M71</f>
        <v>7.2360908520000011</v>
      </c>
      <c r="O67" s="9"/>
      <c r="P67" s="25"/>
      <c r="Q67" s="26" t="s">
        <v>15</v>
      </c>
      <c r="R67" s="27">
        <v>0</v>
      </c>
      <c r="S67" s="26" t="s">
        <v>14</v>
      </c>
      <c r="T67" s="27">
        <v>0</v>
      </c>
      <c r="U67" s="26" t="s">
        <v>14</v>
      </c>
      <c r="V67" s="42">
        <v>0</v>
      </c>
      <c r="W67" s="292"/>
      <c r="X67" s="293">
        <f t="shared" si="11"/>
        <v>0</v>
      </c>
      <c r="Y67" s="294">
        <f t="shared" si="12"/>
        <v>0</v>
      </c>
      <c r="Z67" s="73"/>
      <c r="AA67" s="9"/>
    </row>
    <row r="68" spans="2:36" ht="18" customHeight="1" thickBot="1" x14ac:dyDescent="0.25">
      <c r="B68" s="403"/>
      <c r="C68" s="403"/>
      <c r="D68" s="403"/>
      <c r="E68" s="403"/>
      <c r="F68" s="403"/>
      <c r="G68" s="403"/>
      <c r="H68" s="403"/>
      <c r="I68" s="312" t="s">
        <v>79</v>
      </c>
      <c r="J68" s="414"/>
      <c r="K68" s="414"/>
      <c r="L68" s="414"/>
      <c r="M68" s="275">
        <f>IF(ISERROR(M63+M64+M65-M67),"-",M63+M64+M65-M67)</f>
        <v>2.965086678820484E-2</v>
      </c>
      <c r="N68" s="34">
        <f>N63+N64-N67</f>
        <v>5.3639091479999932</v>
      </c>
      <c r="O68" s="9"/>
      <c r="P68" s="25"/>
      <c r="Q68" s="26" t="s">
        <v>15</v>
      </c>
      <c r="R68" s="27">
        <v>0</v>
      </c>
      <c r="S68" s="26" t="s">
        <v>14</v>
      </c>
      <c r="T68" s="27">
        <v>0</v>
      </c>
      <c r="U68" s="26" t="s">
        <v>14</v>
      </c>
      <c r="V68" s="42">
        <v>0</v>
      </c>
      <c r="W68" s="292"/>
      <c r="X68" s="293">
        <f t="shared" si="11"/>
        <v>0</v>
      </c>
      <c r="Y68" s="294">
        <f t="shared" si="12"/>
        <v>0</v>
      </c>
      <c r="Z68" s="73"/>
      <c r="AA68"/>
      <c r="AB68" s="483" t="s">
        <v>112</v>
      </c>
      <c r="AC68" s="484"/>
    </row>
    <row r="69" spans="2:36" ht="18" customHeight="1" thickBot="1" x14ac:dyDescent="0.25">
      <c r="B69" s="329" t="s">
        <v>105</v>
      </c>
      <c r="C69" s="330"/>
      <c r="D69" s="330"/>
      <c r="E69" s="330"/>
      <c r="F69" s="330"/>
      <c r="G69" s="331"/>
      <c r="H69" s="9"/>
      <c r="I69" s="9"/>
      <c r="J69" s="9"/>
      <c r="K69" s="9"/>
      <c r="L69" s="9"/>
      <c r="M69" s="60"/>
      <c r="N69" s="9"/>
      <c r="O69" s="9"/>
      <c r="P69" s="25"/>
      <c r="Q69" s="26" t="s">
        <v>15</v>
      </c>
      <c r="R69" s="27">
        <v>0</v>
      </c>
      <c r="S69" s="26" t="s">
        <v>14</v>
      </c>
      <c r="T69" s="27">
        <v>0</v>
      </c>
      <c r="U69" s="26" t="s">
        <v>14</v>
      </c>
      <c r="V69" s="42">
        <v>0</v>
      </c>
      <c r="W69" s="292"/>
      <c r="X69" s="293">
        <f t="shared" si="11"/>
        <v>0</v>
      </c>
      <c r="Y69" s="294">
        <f t="shared" si="12"/>
        <v>0</v>
      </c>
      <c r="Z69" s="73"/>
      <c r="AA69"/>
      <c r="AB69" s="64" t="s">
        <v>113</v>
      </c>
      <c r="AC69" s="65" t="s">
        <v>121</v>
      </c>
    </row>
    <row r="70" spans="2:36" ht="18" customHeight="1" thickBot="1" x14ac:dyDescent="0.25">
      <c r="B70" s="395"/>
      <c r="C70" s="396"/>
      <c r="D70" s="396"/>
      <c r="E70" s="396"/>
      <c r="F70" s="396"/>
      <c r="G70" s="397"/>
      <c r="H70" s="9"/>
      <c r="I70" s="276"/>
      <c r="J70" s="276"/>
      <c r="K70" s="276"/>
      <c r="L70" s="276"/>
      <c r="M70" s="277" t="s">
        <v>10</v>
      </c>
      <c r="N70" s="74" t="s">
        <v>71</v>
      </c>
      <c r="O70" s="278"/>
      <c r="P70" s="25"/>
      <c r="Q70" s="26" t="s">
        <v>15</v>
      </c>
      <c r="R70" s="27">
        <v>0</v>
      </c>
      <c r="S70" s="26" t="s">
        <v>14</v>
      </c>
      <c r="T70" s="27">
        <v>0</v>
      </c>
      <c r="U70" s="26" t="s">
        <v>14</v>
      </c>
      <c r="V70" s="42">
        <v>0</v>
      </c>
      <c r="W70" s="292"/>
      <c r="X70" s="293">
        <f t="shared" si="11"/>
        <v>0</v>
      </c>
      <c r="Y70" s="294">
        <f t="shared" si="12"/>
        <v>0</v>
      </c>
      <c r="Z70" s="73"/>
      <c r="AA70"/>
      <c r="AB70" s="66" t="s">
        <v>114</v>
      </c>
      <c r="AC70" s="67" t="s">
        <v>122</v>
      </c>
    </row>
    <row r="71" spans="2:36" ht="18" customHeight="1" thickBot="1" x14ac:dyDescent="0.25">
      <c r="B71" s="451" t="s">
        <v>106</v>
      </c>
      <c r="C71" s="452"/>
      <c r="D71" s="452"/>
      <c r="E71" s="452"/>
      <c r="F71" s="453"/>
      <c r="G71" s="458">
        <v>0</v>
      </c>
      <c r="H71" s="9"/>
      <c r="I71" s="356" t="s">
        <v>70</v>
      </c>
      <c r="J71" s="357"/>
      <c r="K71" s="357"/>
      <c r="L71" s="358"/>
      <c r="M71" s="239">
        <f>N23+N36+N48+N59</f>
        <v>180.90227130000002</v>
      </c>
      <c r="N71" s="239">
        <f>M71/L72</f>
        <v>30.150378550000003</v>
      </c>
      <c r="O71" s="278"/>
      <c r="P71" s="37"/>
      <c r="Q71" s="38" t="s">
        <v>15</v>
      </c>
      <c r="R71" s="39">
        <v>0</v>
      </c>
      <c r="S71" s="38" t="s">
        <v>14</v>
      </c>
      <c r="T71" s="39">
        <v>0</v>
      </c>
      <c r="U71" s="38" t="s">
        <v>14</v>
      </c>
      <c r="V71" s="43">
        <v>0</v>
      </c>
      <c r="W71" s="297"/>
      <c r="X71" s="298">
        <f t="shared" si="11"/>
        <v>0</v>
      </c>
      <c r="Y71" s="299">
        <f t="shared" si="12"/>
        <v>0</v>
      </c>
      <c r="Z71" s="73"/>
      <c r="AA71"/>
      <c r="AB71" s="66" t="s">
        <v>115</v>
      </c>
      <c r="AC71" s="67" t="s">
        <v>123</v>
      </c>
    </row>
    <row r="72" spans="2:36" ht="18" customHeight="1" thickBot="1" x14ac:dyDescent="0.25">
      <c r="B72" s="454"/>
      <c r="C72" s="455"/>
      <c r="D72" s="455"/>
      <c r="E72" s="455"/>
      <c r="F72" s="456"/>
      <c r="G72" s="459"/>
      <c r="H72" s="9"/>
      <c r="I72" s="356" t="s">
        <v>82</v>
      </c>
      <c r="J72" s="357"/>
      <c r="K72" s="358"/>
      <c r="L72" s="279">
        <v>6</v>
      </c>
      <c r="M72" s="276"/>
      <c r="N72" s="276"/>
      <c r="O72" s="278"/>
      <c r="P72" s="276"/>
      <c r="Q72" s="276"/>
      <c r="R72" s="276"/>
      <c r="S72" s="395" t="s">
        <v>95</v>
      </c>
      <c r="T72" s="396"/>
      <c r="U72" s="396"/>
      <c r="V72" s="396"/>
      <c r="W72" s="397"/>
      <c r="X72" s="300">
        <f>SUM(X51:X71)</f>
        <v>109.82806200000003</v>
      </c>
      <c r="Y72" s="301">
        <f>SUM(Y51:Y71)</f>
        <v>14.841630000000002</v>
      </c>
      <c r="Z72" s="73"/>
      <c r="AA72"/>
      <c r="AB72" s="66" t="s">
        <v>116</v>
      </c>
      <c r="AC72" s="67" t="s">
        <v>124</v>
      </c>
    </row>
    <row r="73" spans="2:36" ht="18" customHeight="1" thickBot="1" x14ac:dyDescent="0.25">
      <c r="B73" s="347"/>
      <c r="C73" s="457"/>
      <c r="D73" s="457"/>
      <c r="E73" s="457"/>
      <c r="F73" s="348"/>
      <c r="G73" s="460"/>
      <c r="H73" s="9"/>
      <c r="I73" s="280"/>
      <c r="J73" s="280"/>
      <c r="K73" s="280"/>
      <c r="L73" s="281"/>
      <c r="M73" s="276"/>
      <c r="N73" s="276"/>
      <c r="O73" s="278"/>
      <c r="Q73" s="9"/>
      <c r="X73" s="9"/>
      <c r="Y73" s="9"/>
      <c r="Z73" s="9"/>
      <c r="AA73"/>
      <c r="AB73" s="66" t="s">
        <v>117</v>
      </c>
      <c r="AC73" s="67" t="s">
        <v>125</v>
      </c>
    </row>
    <row r="74" spans="2:36" ht="18" customHeight="1" thickBot="1" x14ac:dyDescent="0.25">
      <c r="B74" s="461"/>
      <c r="C74" s="461"/>
      <c r="D74" s="461"/>
      <c r="E74" s="461"/>
      <c r="F74" s="461"/>
      <c r="G74" s="462" t="str">
        <f>IF(ISERROR(N75/G71),"-",N75/G71)</f>
        <v>-</v>
      </c>
      <c r="H74" s="9"/>
      <c r="I74" s="309" t="s">
        <v>73</v>
      </c>
      <c r="J74" s="310"/>
      <c r="K74" s="310"/>
      <c r="L74" s="311"/>
      <c r="M74" s="277" t="s">
        <v>10</v>
      </c>
      <c r="N74" s="277" t="s">
        <v>71</v>
      </c>
      <c r="O74" s="60"/>
      <c r="P74" s="9"/>
      <c r="Q74" s="9"/>
      <c r="X74" s="9"/>
      <c r="Y74" s="9"/>
      <c r="Z74" s="9"/>
      <c r="AA74"/>
      <c r="AB74" s="66" t="s">
        <v>118</v>
      </c>
      <c r="AC74" s="67" t="s">
        <v>126</v>
      </c>
    </row>
    <row r="75" spans="2:36" ht="18" customHeight="1" thickBot="1" x14ac:dyDescent="0.3">
      <c r="B75" s="461"/>
      <c r="C75" s="461"/>
      <c r="D75" s="461"/>
      <c r="E75" s="461"/>
      <c r="F75" s="461"/>
      <c r="G75" s="462"/>
      <c r="H75" s="9"/>
      <c r="I75" s="359" t="s">
        <v>72</v>
      </c>
      <c r="J75" s="360"/>
      <c r="K75" s="360"/>
      <c r="L75" s="360"/>
      <c r="M75" s="282">
        <f>6*82</f>
        <v>492</v>
      </c>
      <c r="N75" s="239">
        <f>M75/L72</f>
        <v>82</v>
      </c>
      <c r="O75" s="60"/>
      <c r="P75" s="485" t="s">
        <v>111</v>
      </c>
      <c r="Q75" s="486"/>
      <c r="R75" s="486"/>
      <c r="S75" s="486"/>
      <c r="T75" s="487"/>
      <c r="U75" s="488" t="s">
        <v>120</v>
      </c>
      <c r="V75" s="489"/>
      <c r="W75" s="490"/>
      <c r="X75" s="63" t="str">
        <f>IF(U75=AB69,AC69,IF(U75=AB70,AC70,IF(U75=AB71,AC71,IF(U75=AB72,AC72,IF(U75=AB73,AC73,IF(U75=AB74,AC74,IF(U75=AB75,AC75,IF(U75=AB76,AC76,""))))))))</f>
        <v>OT</v>
      </c>
      <c r="Y75" s="9"/>
      <c r="Z75" s="9"/>
      <c r="AA75"/>
      <c r="AB75" s="66" t="s">
        <v>119</v>
      </c>
      <c r="AC75" s="67" t="s">
        <v>127</v>
      </c>
    </row>
    <row r="76" spans="2:36" ht="18" customHeight="1" thickBot="1" x14ac:dyDescent="0.25">
      <c r="B76" s="461"/>
      <c r="C76" s="461"/>
      <c r="D76" s="461"/>
      <c r="E76" s="461"/>
      <c r="F76" s="461"/>
      <c r="G76" s="463"/>
      <c r="H76" s="9"/>
      <c r="I76" s="353" t="s">
        <v>83</v>
      </c>
      <c r="J76" s="354"/>
      <c r="K76" s="354"/>
      <c r="L76" s="355"/>
      <c r="M76" s="283">
        <f>IF(ISERROR((M75-K23-K36-N48-N59-(M75*M67))/M75),"-",(M75-K23-K36-N48-N59-(M75*M67))/M75)</f>
        <v>0.61792221280487802</v>
      </c>
      <c r="N76" s="284"/>
      <c r="O76" s="60"/>
      <c r="Q76" s="9"/>
      <c r="R76" s="9"/>
      <c r="S76" s="9"/>
      <c r="T76" s="9"/>
      <c r="U76" s="9"/>
      <c r="V76" s="9"/>
      <c r="W76" s="9"/>
      <c r="X76" s="9"/>
      <c r="Y76" s="9"/>
      <c r="Z76" s="9"/>
      <c r="AA76"/>
      <c r="AB76" s="68" t="s">
        <v>120</v>
      </c>
      <c r="AC76" s="69" t="s">
        <v>128</v>
      </c>
    </row>
    <row r="77" spans="2:36" ht="18" customHeight="1" thickBot="1" x14ac:dyDescent="0.25">
      <c r="B77" s="9"/>
      <c r="C77" s="9"/>
      <c r="D77" s="9"/>
      <c r="E77" s="9"/>
      <c r="F77" s="9"/>
      <c r="G77" s="9"/>
      <c r="H77" s="9"/>
      <c r="I77" s="353" t="s">
        <v>81</v>
      </c>
      <c r="J77" s="354"/>
      <c r="K77" s="354"/>
      <c r="L77" s="355"/>
      <c r="M77" s="285">
        <f>M75-(K23+K36+N48+N59)-(M67*M75)</f>
        <v>304.01772869999996</v>
      </c>
      <c r="N77" s="276"/>
      <c r="O77" s="60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2:36" ht="15" customHeight="1" x14ac:dyDescent="0.2">
      <c r="B78" s="9"/>
      <c r="C78" s="9"/>
      <c r="D78" s="9"/>
      <c r="E78" s="9"/>
      <c r="F78" s="9"/>
      <c r="G78" s="9"/>
      <c r="H78" s="9"/>
      <c r="I78" s="60"/>
      <c r="J78" s="60"/>
      <c r="K78" s="60"/>
      <c r="L78" s="60"/>
      <c r="M78" s="60"/>
      <c r="N78" s="60"/>
      <c r="O78" s="286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2:36" ht="15" customHeight="1" thickBot="1" x14ac:dyDescent="0.25">
      <c r="B79" s="9"/>
      <c r="C79" s="9"/>
      <c r="D79" s="9"/>
      <c r="E79" s="9"/>
      <c r="F79" s="9"/>
      <c r="G79" s="9"/>
      <c r="H79" s="9"/>
      <c r="I79" s="278"/>
      <c r="J79" s="60"/>
      <c r="K79" s="60"/>
      <c r="L79" s="60"/>
      <c r="M79" s="60"/>
      <c r="N79" s="60"/>
      <c r="O79" s="60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2:36" ht="15" customHeight="1" x14ac:dyDescent="0.2">
      <c r="B80" s="9"/>
      <c r="C80" s="9"/>
      <c r="D80" s="9"/>
      <c r="E80" s="9"/>
      <c r="F80" s="9"/>
      <c r="G80" s="9"/>
      <c r="H80" s="9"/>
      <c r="I80" s="60"/>
      <c r="J80" s="60"/>
      <c r="K80" s="60"/>
      <c r="L80" s="329" t="s">
        <v>89</v>
      </c>
      <c r="M80" s="330"/>
      <c r="N80" s="330"/>
      <c r="O80" s="331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2:28" ht="15" customHeight="1" thickBot="1" x14ac:dyDescent="0.25">
      <c r="B81" s="9"/>
      <c r="C81" s="9"/>
      <c r="D81" s="9"/>
      <c r="E81" s="9"/>
      <c r="F81" s="9"/>
      <c r="G81" s="9"/>
      <c r="H81" s="9"/>
      <c r="I81" s="60"/>
      <c r="J81" s="60"/>
      <c r="K81" s="60"/>
      <c r="L81" s="366"/>
      <c r="M81" s="367"/>
      <c r="N81" s="367"/>
      <c r="O81" s="368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2:28" ht="15" customHeight="1" x14ac:dyDescent="0.2">
      <c r="B82" s="9"/>
      <c r="C82" s="9"/>
      <c r="D82" s="9"/>
      <c r="E82" s="9"/>
      <c r="F82" s="9"/>
      <c r="G82" s="9"/>
      <c r="H82" s="9"/>
      <c r="I82" s="60"/>
      <c r="J82" s="60"/>
      <c r="K82" s="60"/>
      <c r="L82" s="345" t="s">
        <v>90</v>
      </c>
      <c r="M82" s="346"/>
      <c r="N82" s="369">
        <v>0.66649999999999998</v>
      </c>
      <c r="O82" s="370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2:28" ht="15" customHeight="1" thickBot="1" x14ac:dyDescent="0.25">
      <c r="B83" s="9"/>
      <c r="C83" s="9"/>
      <c r="D83" s="9"/>
      <c r="E83" s="9"/>
      <c r="F83" s="9"/>
      <c r="G83" s="9"/>
      <c r="H83" s="9"/>
      <c r="I83" s="60"/>
      <c r="J83" s="60"/>
      <c r="K83" s="60"/>
      <c r="L83" s="347"/>
      <c r="M83" s="348"/>
      <c r="N83" s="371"/>
      <c r="O83" s="372"/>
      <c r="P83" s="9"/>
      <c r="Q83" s="9"/>
      <c r="R83" s="40"/>
      <c r="S83" s="9"/>
      <c r="T83" s="9"/>
      <c r="U83" s="9"/>
      <c r="V83" s="9"/>
      <c r="W83" s="9"/>
      <c r="X83" s="9"/>
      <c r="Y83" s="9"/>
      <c r="Z83" s="9"/>
      <c r="AA83" s="9"/>
    </row>
    <row r="84" spans="2:28" ht="15" customHeight="1" x14ac:dyDescent="0.2">
      <c r="B84" s="9"/>
      <c r="C84" s="9"/>
      <c r="D84" s="9"/>
      <c r="E84" s="9"/>
      <c r="F84" s="9"/>
      <c r="G84" s="9"/>
      <c r="H84" s="9"/>
      <c r="I84" s="60"/>
      <c r="J84" s="60"/>
      <c r="K84" s="60"/>
      <c r="L84" s="345" t="s">
        <v>91</v>
      </c>
      <c r="M84" s="346"/>
      <c r="N84" s="349">
        <f>IF(ISERROR((K23+K36+N48+N59+(M71*M67))/(1-N82)),"Introduzca %",(K23+K36+N48+N59+(M71*M67))/(1-N82))</f>
        <v>526.35191050074968</v>
      </c>
      <c r="O84" s="350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2:28" ht="15" customHeight="1" thickBot="1" x14ac:dyDescent="0.25">
      <c r="B85" s="9"/>
      <c r="C85" s="9"/>
      <c r="D85" s="9"/>
      <c r="E85" s="9"/>
      <c r="F85" s="9"/>
      <c r="G85" s="9"/>
      <c r="H85" s="9"/>
      <c r="I85" s="60"/>
      <c r="J85" s="60"/>
      <c r="K85" s="60"/>
      <c r="L85" s="347"/>
      <c r="M85" s="348"/>
      <c r="N85" s="351"/>
      <c r="O85" s="352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2:28" x14ac:dyDescent="0.2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2:28" x14ac:dyDescent="0.2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2:28" x14ac:dyDescent="0.2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2:28" x14ac:dyDescent="0.2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2:28" x14ac:dyDescent="0.2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2:28" x14ac:dyDescent="0.2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2:28" x14ac:dyDescent="0.2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2:28" x14ac:dyDescent="0.2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2:28" x14ac:dyDescent="0.2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2:28" x14ac:dyDescent="0.2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2:28" s="4" customFormat="1" x14ac:dyDescent="0.2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1"/>
    </row>
    <row r="97" spans="2:28" s="4" customFormat="1" ht="12.75" customHeight="1" x14ac:dyDescent="0.2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1"/>
    </row>
    <row r="98" spans="2:28" s="4" customFormat="1" x14ac:dyDescent="0.2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1"/>
    </row>
  </sheetData>
  <sheetProtection password="BB2F" sheet="1" objects="1" scenarios="1" formatCells="0" formatColumns="0" formatRows="0" insertColumns="0" insertRows="0" deleteColumns="0" deleteRows="0" sort="0"/>
  <dataConsolidate/>
  <mergeCells count="200">
    <mergeCell ref="AB68:AC68"/>
    <mergeCell ref="X25:Y25"/>
    <mergeCell ref="X26:Y26"/>
    <mergeCell ref="X27:Y27"/>
    <mergeCell ref="X28:Y28"/>
    <mergeCell ref="P75:T75"/>
    <mergeCell ref="U75:W75"/>
    <mergeCell ref="X29:Y29"/>
    <mergeCell ref="V26:W26"/>
    <mergeCell ref="V27:W27"/>
    <mergeCell ref="Q29:U29"/>
    <mergeCell ref="Q30:U30"/>
    <mergeCell ref="X44:Y44"/>
    <mergeCell ref="X45:Y45"/>
    <mergeCell ref="X46:Y46"/>
    <mergeCell ref="V44:W44"/>
    <mergeCell ref="V45:W45"/>
    <mergeCell ref="V32:W32"/>
    <mergeCell ref="V33:W33"/>
    <mergeCell ref="V34:W34"/>
    <mergeCell ref="V35:W35"/>
    <mergeCell ref="V36:W36"/>
    <mergeCell ref="V37:W37"/>
    <mergeCell ref="Q32:U32"/>
    <mergeCell ref="X24:Y24"/>
    <mergeCell ref="V28:W28"/>
    <mergeCell ref="V29:W29"/>
    <mergeCell ref="V30:W30"/>
    <mergeCell ref="X30:Y30"/>
    <mergeCell ref="X20:Y20"/>
    <mergeCell ref="X21:Y21"/>
    <mergeCell ref="X22:Y22"/>
    <mergeCell ref="X23:Y23"/>
    <mergeCell ref="V19:W19"/>
    <mergeCell ref="V20:W20"/>
    <mergeCell ref="V21:W21"/>
    <mergeCell ref="V22:W22"/>
    <mergeCell ref="V23:W23"/>
    <mergeCell ref="V24:W24"/>
    <mergeCell ref="V25:W25"/>
    <mergeCell ref="Q28:U28"/>
    <mergeCell ref="Q23:U23"/>
    <mergeCell ref="Q24:U24"/>
    <mergeCell ref="Q25:U25"/>
    <mergeCell ref="Q26:U26"/>
    <mergeCell ref="B71:F73"/>
    <mergeCell ref="G71:G73"/>
    <mergeCell ref="B74:F76"/>
    <mergeCell ref="G74:G76"/>
    <mergeCell ref="B69:G70"/>
    <mergeCell ref="Q44:U44"/>
    <mergeCell ref="B61:G62"/>
    <mergeCell ref="B63:F64"/>
    <mergeCell ref="G63:G64"/>
    <mergeCell ref="G65:G66"/>
    <mergeCell ref="Q45:U45"/>
    <mergeCell ref="S46:W46"/>
    <mergeCell ref="I67:L67"/>
    <mergeCell ref="B53:H53"/>
    <mergeCell ref="B51:H51"/>
    <mergeCell ref="B55:H55"/>
    <mergeCell ref="B59:H59"/>
    <mergeCell ref="B54:H54"/>
    <mergeCell ref="B58:H58"/>
    <mergeCell ref="B56:H56"/>
    <mergeCell ref="B57:H57"/>
    <mergeCell ref="I59:J59"/>
    <mergeCell ref="V38:W38"/>
    <mergeCell ref="V39:W39"/>
    <mergeCell ref="V40:W40"/>
    <mergeCell ref="Q38:U38"/>
    <mergeCell ref="X41:Y41"/>
    <mergeCell ref="Q42:U42"/>
    <mergeCell ref="X42:Y42"/>
    <mergeCell ref="Q43:U43"/>
    <mergeCell ref="X43:Y43"/>
    <mergeCell ref="V41:W41"/>
    <mergeCell ref="V42:W42"/>
    <mergeCell ref="V43:W43"/>
    <mergeCell ref="Q41:U41"/>
    <mergeCell ref="N2:N6"/>
    <mergeCell ref="B7:N7"/>
    <mergeCell ref="D28:H28"/>
    <mergeCell ref="B8:H8"/>
    <mergeCell ref="B9:H9"/>
    <mergeCell ref="B10:H10"/>
    <mergeCell ref="K2:K6"/>
    <mergeCell ref="J2:J6"/>
    <mergeCell ref="C27:C30"/>
    <mergeCell ref="B27:B33"/>
    <mergeCell ref="D33:H33"/>
    <mergeCell ref="C32:C33"/>
    <mergeCell ref="D29:H29"/>
    <mergeCell ref="I23:J23"/>
    <mergeCell ref="B13:H13"/>
    <mergeCell ref="B19:H19"/>
    <mergeCell ref="B2:D2"/>
    <mergeCell ref="E2:G2"/>
    <mergeCell ref="B6:D6"/>
    <mergeCell ref="E3:G3"/>
    <mergeCell ref="E4:G4"/>
    <mergeCell ref="B11:H11"/>
    <mergeCell ref="B12:H12"/>
    <mergeCell ref="B14:H14"/>
    <mergeCell ref="AE26:AE27"/>
    <mergeCell ref="AF26:AF27"/>
    <mergeCell ref="D44:H44"/>
    <mergeCell ref="D30:H30"/>
    <mergeCell ref="D31:H31"/>
    <mergeCell ref="D32:H32"/>
    <mergeCell ref="C34:H34"/>
    <mergeCell ref="D27:H27"/>
    <mergeCell ref="AC26:AC27"/>
    <mergeCell ref="AD26:AD27"/>
    <mergeCell ref="Q31:U31"/>
    <mergeCell ref="X31:Y31"/>
    <mergeCell ref="V31:W31"/>
    <mergeCell ref="Q27:U27"/>
    <mergeCell ref="Q33:U33"/>
    <mergeCell ref="Q34:U34"/>
    <mergeCell ref="Q35:U35"/>
    <mergeCell ref="Q36:U36"/>
    <mergeCell ref="Q37:U37"/>
    <mergeCell ref="X32:Y32"/>
    <mergeCell ref="X33:Y33"/>
    <mergeCell ref="X34:Y34"/>
    <mergeCell ref="D43:H43"/>
    <mergeCell ref="D42:H42"/>
    <mergeCell ref="B15:H15"/>
    <mergeCell ref="S72:W72"/>
    <mergeCell ref="S15:Y15"/>
    <mergeCell ref="L23:M23"/>
    <mergeCell ref="B68:H68"/>
    <mergeCell ref="P16:R16"/>
    <mergeCell ref="I2:I6"/>
    <mergeCell ref="B16:H16"/>
    <mergeCell ref="I74:L74"/>
    <mergeCell ref="I64:L64"/>
    <mergeCell ref="I66:L66"/>
    <mergeCell ref="B4:D4"/>
    <mergeCell ref="B5:D5"/>
    <mergeCell ref="I68:L68"/>
    <mergeCell ref="I65:L65"/>
    <mergeCell ref="I71:L71"/>
    <mergeCell ref="E5:G5"/>
    <mergeCell ref="B3:D3"/>
    <mergeCell ref="L36:M36"/>
    <mergeCell ref="L59:M59"/>
    <mergeCell ref="I62:N62"/>
    <mergeCell ref="I63:L63"/>
    <mergeCell ref="L48:M48"/>
    <mergeCell ref="L2:L6"/>
    <mergeCell ref="M2:M6"/>
    <mergeCell ref="L84:M85"/>
    <mergeCell ref="N84:O85"/>
    <mergeCell ref="I77:L77"/>
    <mergeCell ref="I72:K72"/>
    <mergeCell ref="I75:L75"/>
    <mergeCell ref="I76:L76"/>
    <mergeCell ref="E6:G6"/>
    <mergeCell ref="B50:N50"/>
    <mergeCell ref="L80:O81"/>
    <mergeCell ref="L82:M83"/>
    <mergeCell ref="N82:O83"/>
    <mergeCell ref="B38:N38"/>
    <mergeCell ref="B18:H18"/>
    <mergeCell ref="I48:J48"/>
    <mergeCell ref="D45:H45"/>
    <mergeCell ref="D46:H46"/>
    <mergeCell ref="B42:C46"/>
    <mergeCell ref="B34:B35"/>
    <mergeCell ref="B47:H47"/>
    <mergeCell ref="B39:H39"/>
    <mergeCell ref="I36:J36"/>
    <mergeCell ref="B41:H41"/>
    <mergeCell ref="B40:H40"/>
    <mergeCell ref="S16:Y16"/>
    <mergeCell ref="P49:Y49"/>
    <mergeCell ref="I24:J24"/>
    <mergeCell ref="B20:H20"/>
    <mergeCell ref="P15:R15"/>
    <mergeCell ref="C35:H35"/>
    <mergeCell ref="B22:H22"/>
    <mergeCell ref="B37:N37"/>
    <mergeCell ref="B26:N26"/>
    <mergeCell ref="B17:H17"/>
    <mergeCell ref="P18:Y18"/>
    <mergeCell ref="Q19:U19"/>
    <mergeCell ref="Q20:U20"/>
    <mergeCell ref="Q21:U21"/>
    <mergeCell ref="Q22:U22"/>
    <mergeCell ref="X19:Y19"/>
    <mergeCell ref="X35:Y35"/>
    <mergeCell ref="X36:Y36"/>
    <mergeCell ref="X37:Y37"/>
    <mergeCell ref="X38:Y38"/>
    <mergeCell ref="Q39:U39"/>
    <mergeCell ref="X39:Y39"/>
    <mergeCell ref="Q40:U40"/>
    <mergeCell ref="X40:Y40"/>
  </mergeCells>
  <conditionalFormatting sqref="K8:K22">
    <cfRule type="cellIs" dxfId="42" priority="44" operator="greaterThan">
      <formula>0</formula>
    </cfRule>
  </conditionalFormatting>
  <conditionalFormatting sqref="N8:N22">
    <cfRule type="cellIs" dxfId="41" priority="43" operator="greaterThan">
      <formula>0</formula>
    </cfRule>
  </conditionalFormatting>
  <conditionalFormatting sqref="N23 K23">
    <cfRule type="cellIs" dxfId="40" priority="42" operator="greaterThan">
      <formula>0</formula>
    </cfRule>
  </conditionalFormatting>
  <conditionalFormatting sqref="K24">
    <cfRule type="cellIs" dxfId="39" priority="41" operator="greaterThan">
      <formula>0</formula>
    </cfRule>
  </conditionalFormatting>
  <conditionalFormatting sqref="I8:I22">
    <cfRule type="cellIs" dxfId="38" priority="40" operator="greaterThan">
      <formula>0</formula>
    </cfRule>
  </conditionalFormatting>
  <conditionalFormatting sqref="I27:I35">
    <cfRule type="cellIs" dxfId="37" priority="39" operator="greaterThan">
      <formula>0</formula>
    </cfRule>
  </conditionalFormatting>
  <conditionalFormatting sqref="K27:K35">
    <cfRule type="cellIs" dxfId="36" priority="38" operator="greaterThan">
      <formula>0</formula>
    </cfRule>
  </conditionalFormatting>
  <conditionalFormatting sqref="N27:N35">
    <cfRule type="cellIs" dxfId="35" priority="37" operator="greaterThan">
      <formula>0</formula>
    </cfRule>
  </conditionalFormatting>
  <conditionalFormatting sqref="N36 K36">
    <cfRule type="cellIs" dxfId="34" priority="36" operator="greaterThan">
      <formula>0</formula>
    </cfRule>
  </conditionalFormatting>
  <conditionalFormatting sqref="I39:I47">
    <cfRule type="cellIs" dxfId="33" priority="31" operator="greaterThan">
      <formula>0</formula>
    </cfRule>
  </conditionalFormatting>
  <conditionalFormatting sqref="K39:K47">
    <cfRule type="cellIs" dxfId="32" priority="30" operator="greaterThan">
      <formula>0</formula>
    </cfRule>
  </conditionalFormatting>
  <conditionalFormatting sqref="N39:N47">
    <cfRule type="cellIs" dxfId="31" priority="29" operator="greaterThan">
      <formula>0</formula>
    </cfRule>
  </conditionalFormatting>
  <conditionalFormatting sqref="N48 K48">
    <cfRule type="cellIs" dxfId="30" priority="28" operator="greaterThan">
      <formula>0</formula>
    </cfRule>
  </conditionalFormatting>
  <conditionalFormatting sqref="J51:J52">
    <cfRule type="cellIs" dxfId="29" priority="27" operator="greaterThan">
      <formula>0</formula>
    </cfRule>
  </conditionalFormatting>
  <conditionalFormatting sqref="N51:N52">
    <cfRule type="cellIs" dxfId="28" priority="26" operator="greaterThan">
      <formula>0</formula>
    </cfRule>
  </conditionalFormatting>
  <conditionalFormatting sqref="I53:I56">
    <cfRule type="cellIs" dxfId="27" priority="25" operator="greaterThan">
      <formula>5.4</formula>
    </cfRule>
  </conditionalFormatting>
  <conditionalFormatting sqref="I53:I56">
    <cfRule type="cellIs" dxfId="26" priority="24" operator="greaterThan">
      <formula>0</formula>
    </cfRule>
  </conditionalFormatting>
  <conditionalFormatting sqref="I57:I58">
    <cfRule type="cellIs" dxfId="25" priority="23" operator="greaterThan">
      <formula>5.4</formula>
    </cfRule>
  </conditionalFormatting>
  <conditionalFormatting sqref="I57:I58">
    <cfRule type="cellIs" dxfId="24" priority="22" operator="greaterThan">
      <formula>0</formula>
    </cfRule>
  </conditionalFormatting>
  <conditionalFormatting sqref="K53:K58">
    <cfRule type="cellIs" dxfId="23" priority="21" operator="greaterThan">
      <formula>0</formula>
    </cfRule>
  </conditionalFormatting>
  <conditionalFormatting sqref="N53:N58">
    <cfRule type="cellIs" dxfId="22" priority="20" operator="greaterThan">
      <formula>0</formula>
    </cfRule>
  </conditionalFormatting>
  <conditionalFormatting sqref="K59">
    <cfRule type="cellIs" dxfId="21" priority="19" operator="greaterThan">
      <formula>0</formula>
    </cfRule>
  </conditionalFormatting>
  <conditionalFormatting sqref="N63:N67">
    <cfRule type="cellIs" dxfId="20" priority="18" operator="greaterThan">
      <formula>0</formula>
    </cfRule>
  </conditionalFormatting>
  <conditionalFormatting sqref="M71">
    <cfRule type="cellIs" dxfId="19" priority="17" operator="greaterThan">
      <formula>0</formula>
    </cfRule>
  </conditionalFormatting>
  <conditionalFormatting sqref="N71">
    <cfRule type="cellIs" dxfId="18" priority="16" operator="greaterThan">
      <formula>0</formula>
    </cfRule>
  </conditionalFormatting>
  <conditionalFormatting sqref="M75">
    <cfRule type="cellIs" dxfId="17" priority="15" operator="greaterThan">
      <formula>0</formula>
    </cfRule>
  </conditionalFormatting>
  <conditionalFormatting sqref="L72">
    <cfRule type="cellIs" dxfId="16" priority="14" operator="greaterThan">
      <formula>0</formula>
    </cfRule>
  </conditionalFormatting>
  <conditionalFormatting sqref="N75">
    <cfRule type="cellIs" dxfId="15" priority="13" operator="greaterThan">
      <formula>0</formula>
    </cfRule>
  </conditionalFormatting>
  <conditionalFormatting sqref="M76">
    <cfRule type="cellIs" dxfId="14" priority="12" operator="greaterThan">
      <formula>0</formula>
    </cfRule>
  </conditionalFormatting>
  <conditionalFormatting sqref="P20:P45">
    <cfRule type="cellIs" dxfId="13" priority="11" operator="greaterThan">
      <formula>0</formula>
    </cfRule>
  </conditionalFormatting>
  <conditionalFormatting sqref="V20:W45">
    <cfRule type="cellIs" dxfId="12" priority="10" operator="greaterThan">
      <formula>0</formula>
    </cfRule>
  </conditionalFormatting>
  <conditionalFormatting sqref="X20:Y46">
    <cfRule type="cellIs" dxfId="11" priority="9" operator="greaterThan">
      <formula>0</formula>
    </cfRule>
  </conditionalFormatting>
  <conditionalFormatting sqref="P51:P71">
    <cfRule type="cellIs" dxfId="10" priority="8" operator="greaterThan">
      <formula>0</formula>
    </cfRule>
  </conditionalFormatting>
  <conditionalFormatting sqref="T51:T71 R51:R71">
    <cfRule type="cellIs" dxfId="9" priority="7" operator="greaterThan">
      <formula>0</formula>
    </cfRule>
  </conditionalFormatting>
  <conditionalFormatting sqref="V51:V71">
    <cfRule type="cellIs" dxfId="8" priority="6" operator="greaterThan">
      <formula>0</formula>
    </cfRule>
  </conditionalFormatting>
  <conditionalFormatting sqref="X51:X72">
    <cfRule type="cellIs" dxfId="7" priority="5" operator="greaterThan">
      <formula>0</formula>
    </cfRule>
  </conditionalFormatting>
  <conditionalFormatting sqref="Y51:Y72">
    <cfRule type="cellIs" dxfId="6" priority="4" operator="greaterThan">
      <formula>0</formula>
    </cfRule>
  </conditionalFormatting>
  <conditionalFormatting sqref="G65:G66">
    <cfRule type="cellIs" dxfId="5" priority="1" operator="greaterThan">
      <formula>"0 €/m"</formula>
    </cfRule>
    <cfRule type="cellIs" dxfId="4" priority="2" operator="greaterThan">
      <formula>$G$65</formula>
    </cfRule>
    <cfRule type="cellIs" dxfId="3" priority="3" operator="greaterThan">
      <formula>"0,00 €/m"</formula>
    </cfRule>
  </conditionalFormatting>
  <dataValidations count="3">
    <dataValidation type="list" allowBlank="1" showInputMessage="1" showErrorMessage="1" prompt="SELECCIONE MATERIAL DE LA LISTA" sqref="W52:W71">
      <formula1>$AA$51:$AA$58</formula1>
    </dataValidation>
    <dataValidation type="list" allowBlank="1" showInputMessage="1" showErrorMessage="1" prompt="SELECCIONE MATERIAL DE LA LISTA" sqref="W51">
      <formula1>$AA$51:$AA$60</formula1>
    </dataValidation>
    <dataValidation type="list" allowBlank="1" showInputMessage="1" showErrorMessage="1" sqref="U75:W75">
      <formula1>$AB$69:$AB$76</formula1>
    </dataValidation>
  </dataValidations>
  <hyperlinks>
    <hyperlink ref="S15" r:id="rId1"/>
    <hyperlink ref="S16" r:id="rId2"/>
  </hyperlinks>
  <pageMargins left="0.25" right="0.25" top="0.75" bottom="0.75" header="0.3" footer="0.3"/>
  <pageSetup paperSize="9" scale="59" orientation="portrait" r:id="rId3"/>
  <colBreaks count="1" manualBreakCount="1">
    <brk id="15" max="1048575" man="1"/>
  </colBreaks>
  <ignoredErrors>
    <ignoredError sqref="N40:N48 N27:N36 N22:N23 L53:L58 K22:K23 K27:K36 K39:K48 K53:K58 K8:K19 N8:N1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79" r:id="rId6" name="Button 31">
              <controlPr defaultSize="0" print="0" autoFill="0" autoPict="0" macro="[0]!RESETEAR_Haga_clic_en">
                <anchor moveWithCells="1" sizeWithCells="1">
                  <from>
                    <xdr:col>14</xdr:col>
                    <xdr:colOff>485775</xdr:colOff>
                    <xdr:row>2</xdr:row>
                    <xdr:rowOff>19050</xdr:rowOff>
                  </from>
                  <to>
                    <xdr:col>19</xdr:col>
                    <xdr:colOff>485775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7" name="Button 38">
              <controlPr defaultSize="0" print="0" autoFill="0" autoPict="0" macro="[0]!Imprimir_Haga_clic_en">
                <anchor moveWithCells="1" sizeWithCells="1">
                  <from>
                    <xdr:col>14</xdr:col>
                    <xdr:colOff>476250</xdr:colOff>
                    <xdr:row>8</xdr:row>
                    <xdr:rowOff>38100</xdr:rowOff>
                  </from>
                  <to>
                    <xdr:col>19</xdr:col>
                    <xdr:colOff>476250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8" name="Button 46">
              <controlPr defaultSize="0" print="0" autoFill="0" autoPict="0" macro="[0]!GUARDARCOMO_OFERTA">
                <anchor moveWithCells="1" sizeWithCells="1">
                  <from>
                    <xdr:col>21</xdr:col>
                    <xdr:colOff>485775</xdr:colOff>
                    <xdr:row>8</xdr:row>
                    <xdr:rowOff>47625</xdr:rowOff>
                  </from>
                  <to>
                    <xdr:col>24</xdr:col>
                    <xdr:colOff>466725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9" name="Button 107">
              <controlPr defaultSize="0" print="0" autoFill="0" autoPict="0" macro="[0]!RESETEAR_NUSIM">
                <anchor moveWithCells="1" sizeWithCells="1">
                  <from>
                    <xdr:col>21</xdr:col>
                    <xdr:colOff>485775</xdr:colOff>
                    <xdr:row>2</xdr:row>
                    <xdr:rowOff>19050</xdr:rowOff>
                  </from>
                  <to>
                    <xdr:col>24</xdr:col>
                    <xdr:colOff>495300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0" name="Button 120">
              <controlPr defaultSize="0" print="0" autoFill="0" autoPict="0" macro="[0]!GUARDARCOMO_CONTROLOBRA">
                <anchor moveWithCells="1" sizeWithCells="1">
                  <from>
                    <xdr:col>25</xdr:col>
                    <xdr:colOff>485775</xdr:colOff>
                    <xdr:row>8</xdr:row>
                    <xdr:rowOff>47625</xdr:rowOff>
                  </from>
                  <to>
                    <xdr:col>27</xdr:col>
                    <xdr:colOff>1095375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X68"/>
  <sheetViews>
    <sheetView workbookViewId="0">
      <selection activeCell="I24" sqref="I24"/>
    </sheetView>
  </sheetViews>
  <sheetFormatPr baseColWidth="10" defaultRowHeight="12.75" x14ac:dyDescent="0.2"/>
  <cols>
    <col min="2" max="2" width="14.42578125" customWidth="1"/>
    <col min="8" max="8" width="12.5703125" customWidth="1"/>
    <col min="9" max="9" width="8.7109375" customWidth="1"/>
    <col min="10" max="10" width="14.5703125" customWidth="1"/>
    <col min="11" max="11" width="3.85546875" customWidth="1"/>
    <col min="258" max="258" width="14.42578125" customWidth="1"/>
    <col min="264" max="264" width="12.5703125" customWidth="1"/>
    <col min="265" max="265" width="6.5703125" customWidth="1"/>
    <col min="266" max="266" width="12.5703125" customWidth="1"/>
    <col min="514" max="514" width="14.42578125" customWidth="1"/>
    <col min="520" max="520" width="12.5703125" customWidth="1"/>
    <col min="521" max="521" width="6.5703125" customWidth="1"/>
    <col min="522" max="522" width="12.5703125" customWidth="1"/>
    <col min="770" max="770" width="14.42578125" customWidth="1"/>
    <col min="776" max="776" width="12.5703125" customWidth="1"/>
    <col min="777" max="777" width="6.5703125" customWidth="1"/>
    <col min="778" max="778" width="12.5703125" customWidth="1"/>
    <col min="1026" max="1026" width="14.42578125" customWidth="1"/>
    <col min="1032" max="1032" width="12.5703125" customWidth="1"/>
    <col min="1033" max="1033" width="6.5703125" customWidth="1"/>
    <col min="1034" max="1034" width="12.5703125" customWidth="1"/>
    <col min="1282" max="1282" width="14.42578125" customWidth="1"/>
    <col min="1288" max="1288" width="12.5703125" customWidth="1"/>
    <col min="1289" max="1289" width="6.5703125" customWidth="1"/>
    <col min="1290" max="1290" width="12.5703125" customWidth="1"/>
    <col min="1538" max="1538" width="14.42578125" customWidth="1"/>
    <col min="1544" max="1544" width="12.5703125" customWidth="1"/>
    <col min="1545" max="1545" width="6.5703125" customWidth="1"/>
    <col min="1546" max="1546" width="12.5703125" customWidth="1"/>
    <col min="1794" max="1794" width="14.42578125" customWidth="1"/>
    <col min="1800" max="1800" width="12.5703125" customWidth="1"/>
    <col min="1801" max="1801" width="6.5703125" customWidth="1"/>
    <col min="1802" max="1802" width="12.5703125" customWidth="1"/>
    <col min="2050" max="2050" width="14.42578125" customWidth="1"/>
    <col min="2056" max="2056" width="12.5703125" customWidth="1"/>
    <col min="2057" max="2057" width="6.5703125" customWidth="1"/>
    <col min="2058" max="2058" width="12.5703125" customWidth="1"/>
    <col min="2306" max="2306" width="14.42578125" customWidth="1"/>
    <col min="2312" max="2312" width="12.5703125" customWidth="1"/>
    <col min="2313" max="2313" width="6.5703125" customWidth="1"/>
    <col min="2314" max="2314" width="12.5703125" customWidth="1"/>
    <col min="2562" max="2562" width="14.42578125" customWidth="1"/>
    <col min="2568" max="2568" width="12.5703125" customWidth="1"/>
    <col min="2569" max="2569" width="6.5703125" customWidth="1"/>
    <col min="2570" max="2570" width="12.5703125" customWidth="1"/>
    <col min="2818" max="2818" width="14.42578125" customWidth="1"/>
    <col min="2824" max="2824" width="12.5703125" customWidth="1"/>
    <col min="2825" max="2825" width="6.5703125" customWidth="1"/>
    <col min="2826" max="2826" width="12.5703125" customWidth="1"/>
    <col min="3074" max="3074" width="14.42578125" customWidth="1"/>
    <col min="3080" max="3080" width="12.5703125" customWidth="1"/>
    <col min="3081" max="3081" width="6.5703125" customWidth="1"/>
    <col min="3082" max="3082" width="12.5703125" customWidth="1"/>
    <col min="3330" max="3330" width="14.42578125" customWidth="1"/>
    <col min="3336" max="3336" width="12.5703125" customWidth="1"/>
    <col min="3337" max="3337" width="6.5703125" customWidth="1"/>
    <col min="3338" max="3338" width="12.5703125" customWidth="1"/>
    <col min="3586" max="3586" width="14.42578125" customWidth="1"/>
    <col min="3592" max="3592" width="12.5703125" customWidth="1"/>
    <col min="3593" max="3593" width="6.5703125" customWidth="1"/>
    <col min="3594" max="3594" width="12.5703125" customWidth="1"/>
    <col min="3842" max="3842" width="14.42578125" customWidth="1"/>
    <col min="3848" max="3848" width="12.5703125" customWidth="1"/>
    <col min="3849" max="3849" width="6.5703125" customWidth="1"/>
    <col min="3850" max="3850" width="12.5703125" customWidth="1"/>
    <col min="4098" max="4098" width="14.42578125" customWidth="1"/>
    <col min="4104" max="4104" width="12.5703125" customWidth="1"/>
    <col min="4105" max="4105" width="6.5703125" customWidth="1"/>
    <col min="4106" max="4106" width="12.5703125" customWidth="1"/>
    <col min="4354" max="4354" width="14.42578125" customWidth="1"/>
    <col min="4360" max="4360" width="12.5703125" customWidth="1"/>
    <col min="4361" max="4361" width="6.5703125" customWidth="1"/>
    <col min="4362" max="4362" width="12.5703125" customWidth="1"/>
    <col min="4610" max="4610" width="14.42578125" customWidth="1"/>
    <col min="4616" max="4616" width="12.5703125" customWidth="1"/>
    <col min="4617" max="4617" width="6.5703125" customWidth="1"/>
    <col min="4618" max="4618" width="12.5703125" customWidth="1"/>
    <col min="4866" max="4866" width="14.42578125" customWidth="1"/>
    <col min="4872" max="4872" width="12.5703125" customWidth="1"/>
    <col min="4873" max="4873" width="6.5703125" customWidth="1"/>
    <col min="4874" max="4874" width="12.5703125" customWidth="1"/>
    <col min="5122" max="5122" width="14.42578125" customWidth="1"/>
    <col min="5128" max="5128" width="12.5703125" customWidth="1"/>
    <col min="5129" max="5129" width="6.5703125" customWidth="1"/>
    <col min="5130" max="5130" width="12.5703125" customWidth="1"/>
    <col min="5378" max="5378" width="14.42578125" customWidth="1"/>
    <col min="5384" max="5384" width="12.5703125" customWidth="1"/>
    <col min="5385" max="5385" width="6.5703125" customWidth="1"/>
    <col min="5386" max="5386" width="12.5703125" customWidth="1"/>
    <col min="5634" max="5634" width="14.42578125" customWidth="1"/>
    <col min="5640" max="5640" width="12.5703125" customWidth="1"/>
    <col min="5641" max="5641" width="6.5703125" customWidth="1"/>
    <col min="5642" max="5642" width="12.5703125" customWidth="1"/>
    <col min="5890" max="5890" width="14.42578125" customWidth="1"/>
    <col min="5896" max="5896" width="12.5703125" customWidth="1"/>
    <col min="5897" max="5897" width="6.5703125" customWidth="1"/>
    <col min="5898" max="5898" width="12.5703125" customWidth="1"/>
    <col min="6146" max="6146" width="14.42578125" customWidth="1"/>
    <col min="6152" max="6152" width="12.5703125" customWidth="1"/>
    <col min="6153" max="6153" width="6.5703125" customWidth="1"/>
    <col min="6154" max="6154" width="12.5703125" customWidth="1"/>
    <col min="6402" max="6402" width="14.42578125" customWidth="1"/>
    <col min="6408" max="6408" width="12.5703125" customWidth="1"/>
    <col min="6409" max="6409" width="6.5703125" customWidth="1"/>
    <col min="6410" max="6410" width="12.5703125" customWidth="1"/>
    <col min="6658" max="6658" width="14.42578125" customWidth="1"/>
    <col min="6664" max="6664" width="12.5703125" customWidth="1"/>
    <col min="6665" max="6665" width="6.5703125" customWidth="1"/>
    <col min="6666" max="6666" width="12.5703125" customWidth="1"/>
    <col min="6914" max="6914" width="14.42578125" customWidth="1"/>
    <col min="6920" max="6920" width="12.5703125" customWidth="1"/>
    <col min="6921" max="6921" width="6.5703125" customWidth="1"/>
    <col min="6922" max="6922" width="12.5703125" customWidth="1"/>
    <col min="7170" max="7170" width="14.42578125" customWidth="1"/>
    <col min="7176" max="7176" width="12.5703125" customWidth="1"/>
    <col min="7177" max="7177" width="6.5703125" customWidth="1"/>
    <col min="7178" max="7178" width="12.5703125" customWidth="1"/>
    <col min="7426" max="7426" width="14.42578125" customWidth="1"/>
    <col min="7432" max="7432" width="12.5703125" customWidth="1"/>
    <col min="7433" max="7433" width="6.5703125" customWidth="1"/>
    <col min="7434" max="7434" width="12.5703125" customWidth="1"/>
    <col min="7682" max="7682" width="14.42578125" customWidth="1"/>
    <col min="7688" max="7688" width="12.5703125" customWidth="1"/>
    <col min="7689" max="7689" width="6.5703125" customWidth="1"/>
    <col min="7690" max="7690" width="12.5703125" customWidth="1"/>
    <col min="7938" max="7938" width="14.42578125" customWidth="1"/>
    <col min="7944" max="7944" width="12.5703125" customWidth="1"/>
    <col min="7945" max="7945" width="6.5703125" customWidth="1"/>
    <col min="7946" max="7946" width="12.5703125" customWidth="1"/>
    <col min="8194" max="8194" width="14.42578125" customWidth="1"/>
    <col min="8200" max="8200" width="12.5703125" customWidth="1"/>
    <col min="8201" max="8201" width="6.5703125" customWidth="1"/>
    <col min="8202" max="8202" width="12.5703125" customWidth="1"/>
    <col min="8450" max="8450" width="14.42578125" customWidth="1"/>
    <col min="8456" max="8456" width="12.5703125" customWidth="1"/>
    <col min="8457" max="8457" width="6.5703125" customWidth="1"/>
    <col min="8458" max="8458" width="12.5703125" customWidth="1"/>
    <col min="8706" max="8706" width="14.42578125" customWidth="1"/>
    <col min="8712" max="8712" width="12.5703125" customWidth="1"/>
    <col min="8713" max="8713" width="6.5703125" customWidth="1"/>
    <col min="8714" max="8714" width="12.5703125" customWidth="1"/>
    <col min="8962" max="8962" width="14.42578125" customWidth="1"/>
    <col min="8968" max="8968" width="12.5703125" customWidth="1"/>
    <col min="8969" max="8969" width="6.5703125" customWidth="1"/>
    <col min="8970" max="8970" width="12.5703125" customWidth="1"/>
    <col min="9218" max="9218" width="14.42578125" customWidth="1"/>
    <col min="9224" max="9224" width="12.5703125" customWidth="1"/>
    <col min="9225" max="9225" width="6.5703125" customWidth="1"/>
    <col min="9226" max="9226" width="12.5703125" customWidth="1"/>
    <col min="9474" max="9474" width="14.42578125" customWidth="1"/>
    <col min="9480" max="9480" width="12.5703125" customWidth="1"/>
    <col min="9481" max="9481" width="6.5703125" customWidth="1"/>
    <col min="9482" max="9482" width="12.5703125" customWidth="1"/>
    <col min="9730" max="9730" width="14.42578125" customWidth="1"/>
    <col min="9736" max="9736" width="12.5703125" customWidth="1"/>
    <col min="9737" max="9737" width="6.5703125" customWidth="1"/>
    <col min="9738" max="9738" width="12.5703125" customWidth="1"/>
    <col min="9986" max="9986" width="14.42578125" customWidth="1"/>
    <col min="9992" max="9992" width="12.5703125" customWidth="1"/>
    <col min="9993" max="9993" width="6.5703125" customWidth="1"/>
    <col min="9994" max="9994" width="12.5703125" customWidth="1"/>
    <col min="10242" max="10242" width="14.42578125" customWidth="1"/>
    <col min="10248" max="10248" width="12.5703125" customWidth="1"/>
    <col min="10249" max="10249" width="6.5703125" customWidth="1"/>
    <col min="10250" max="10250" width="12.5703125" customWidth="1"/>
    <col min="10498" max="10498" width="14.42578125" customWidth="1"/>
    <col min="10504" max="10504" width="12.5703125" customWidth="1"/>
    <col min="10505" max="10505" width="6.5703125" customWidth="1"/>
    <col min="10506" max="10506" width="12.5703125" customWidth="1"/>
    <col min="10754" max="10754" width="14.42578125" customWidth="1"/>
    <col min="10760" max="10760" width="12.5703125" customWidth="1"/>
    <col min="10761" max="10761" width="6.5703125" customWidth="1"/>
    <col min="10762" max="10762" width="12.5703125" customWidth="1"/>
    <col min="11010" max="11010" width="14.42578125" customWidth="1"/>
    <col min="11016" max="11016" width="12.5703125" customWidth="1"/>
    <col min="11017" max="11017" width="6.5703125" customWidth="1"/>
    <col min="11018" max="11018" width="12.5703125" customWidth="1"/>
    <col min="11266" max="11266" width="14.42578125" customWidth="1"/>
    <col min="11272" max="11272" width="12.5703125" customWidth="1"/>
    <col min="11273" max="11273" width="6.5703125" customWidth="1"/>
    <col min="11274" max="11274" width="12.5703125" customWidth="1"/>
    <col min="11522" max="11522" width="14.42578125" customWidth="1"/>
    <col min="11528" max="11528" width="12.5703125" customWidth="1"/>
    <col min="11529" max="11529" width="6.5703125" customWidth="1"/>
    <col min="11530" max="11530" width="12.5703125" customWidth="1"/>
    <col min="11778" max="11778" width="14.42578125" customWidth="1"/>
    <col min="11784" max="11784" width="12.5703125" customWidth="1"/>
    <col min="11785" max="11785" width="6.5703125" customWidth="1"/>
    <col min="11786" max="11786" width="12.5703125" customWidth="1"/>
    <col min="12034" max="12034" width="14.42578125" customWidth="1"/>
    <col min="12040" max="12040" width="12.5703125" customWidth="1"/>
    <col min="12041" max="12041" width="6.5703125" customWidth="1"/>
    <col min="12042" max="12042" width="12.5703125" customWidth="1"/>
    <col min="12290" max="12290" width="14.42578125" customWidth="1"/>
    <col min="12296" max="12296" width="12.5703125" customWidth="1"/>
    <col min="12297" max="12297" width="6.5703125" customWidth="1"/>
    <col min="12298" max="12298" width="12.5703125" customWidth="1"/>
    <col min="12546" max="12546" width="14.42578125" customWidth="1"/>
    <col min="12552" max="12552" width="12.5703125" customWidth="1"/>
    <col min="12553" max="12553" width="6.5703125" customWidth="1"/>
    <col min="12554" max="12554" width="12.5703125" customWidth="1"/>
    <col min="12802" max="12802" width="14.42578125" customWidth="1"/>
    <col min="12808" max="12808" width="12.5703125" customWidth="1"/>
    <col min="12809" max="12809" width="6.5703125" customWidth="1"/>
    <col min="12810" max="12810" width="12.5703125" customWidth="1"/>
    <col min="13058" max="13058" width="14.42578125" customWidth="1"/>
    <col min="13064" max="13064" width="12.5703125" customWidth="1"/>
    <col min="13065" max="13065" width="6.5703125" customWidth="1"/>
    <col min="13066" max="13066" width="12.5703125" customWidth="1"/>
    <col min="13314" max="13314" width="14.42578125" customWidth="1"/>
    <col min="13320" max="13320" width="12.5703125" customWidth="1"/>
    <col min="13321" max="13321" width="6.5703125" customWidth="1"/>
    <col min="13322" max="13322" width="12.5703125" customWidth="1"/>
    <col min="13570" max="13570" width="14.42578125" customWidth="1"/>
    <col min="13576" max="13576" width="12.5703125" customWidth="1"/>
    <col min="13577" max="13577" width="6.5703125" customWidth="1"/>
    <col min="13578" max="13578" width="12.5703125" customWidth="1"/>
    <col min="13826" max="13826" width="14.42578125" customWidth="1"/>
    <col min="13832" max="13832" width="12.5703125" customWidth="1"/>
    <col min="13833" max="13833" width="6.5703125" customWidth="1"/>
    <col min="13834" max="13834" width="12.5703125" customWidth="1"/>
    <col min="14082" max="14082" width="14.42578125" customWidth="1"/>
    <col min="14088" max="14088" width="12.5703125" customWidth="1"/>
    <col min="14089" max="14089" width="6.5703125" customWidth="1"/>
    <col min="14090" max="14090" width="12.5703125" customWidth="1"/>
    <col min="14338" max="14338" width="14.42578125" customWidth="1"/>
    <col min="14344" max="14344" width="12.5703125" customWidth="1"/>
    <col min="14345" max="14345" width="6.5703125" customWidth="1"/>
    <col min="14346" max="14346" width="12.5703125" customWidth="1"/>
    <col min="14594" max="14594" width="14.42578125" customWidth="1"/>
    <col min="14600" max="14600" width="12.5703125" customWidth="1"/>
    <col min="14601" max="14601" width="6.5703125" customWidth="1"/>
    <col min="14602" max="14602" width="12.5703125" customWidth="1"/>
    <col min="14850" max="14850" width="14.42578125" customWidth="1"/>
    <col min="14856" max="14856" width="12.5703125" customWidth="1"/>
    <col min="14857" max="14857" width="6.5703125" customWidth="1"/>
    <col min="14858" max="14858" width="12.5703125" customWidth="1"/>
    <col min="15106" max="15106" width="14.42578125" customWidth="1"/>
    <col min="15112" max="15112" width="12.5703125" customWidth="1"/>
    <col min="15113" max="15113" width="6.5703125" customWidth="1"/>
    <col min="15114" max="15114" width="12.5703125" customWidth="1"/>
    <col min="15362" max="15362" width="14.42578125" customWidth="1"/>
    <col min="15368" max="15368" width="12.5703125" customWidth="1"/>
    <col min="15369" max="15369" width="6.5703125" customWidth="1"/>
    <col min="15370" max="15370" width="12.5703125" customWidth="1"/>
    <col min="15618" max="15618" width="14.42578125" customWidth="1"/>
    <col min="15624" max="15624" width="12.5703125" customWidth="1"/>
    <col min="15625" max="15625" width="6.5703125" customWidth="1"/>
    <col min="15626" max="15626" width="12.5703125" customWidth="1"/>
    <col min="15874" max="15874" width="14.42578125" customWidth="1"/>
    <col min="15880" max="15880" width="12.5703125" customWidth="1"/>
    <col min="15881" max="15881" width="6.5703125" customWidth="1"/>
    <col min="15882" max="15882" width="12.5703125" customWidth="1"/>
    <col min="16130" max="16130" width="14.42578125" customWidth="1"/>
    <col min="16136" max="16136" width="12.5703125" customWidth="1"/>
    <col min="16137" max="16137" width="6.5703125" customWidth="1"/>
    <col min="16138" max="16138" width="12.5703125" customWidth="1"/>
  </cols>
  <sheetData>
    <row r="1" spans="1:24" ht="24.95" customHeight="1" thickBot="1" x14ac:dyDescent="0.25">
      <c r="A1" s="599" t="s">
        <v>133</v>
      </c>
      <c r="B1" s="601" t="s">
        <v>5</v>
      </c>
      <c r="C1" s="602"/>
      <c r="D1" s="602"/>
      <c r="E1" s="602"/>
      <c r="F1" s="603"/>
      <c r="G1" s="607" t="s">
        <v>134</v>
      </c>
      <c r="H1" s="609" t="s">
        <v>135</v>
      </c>
      <c r="L1" s="537" t="s">
        <v>136</v>
      </c>
      <c r="M1" s="538"/>
      <c r="N1" s="539"/>
      <c r="O1" s="614" t="s">
        <v>137</v>
      </c>
      <c r="P1" s="583" t="s">
        <v>138</v>
      </c>
      <c r="Q1" s="584"/>
      <c r="R1" s="584"/>
      <c r="S1" s="584"/>
      <c r="T1" s="584"/>
      <c r="U1" s="584"/>
      <c r="V1" s="585"/>
      <c r="W1" s="585"/>
      <c r="X1" s="586"/>
    </row>
    <row r="2" spans="1:24" ht="30.2" customHeight="1" thickBot="1" x14ac:dyDescent="0.25">
      <c r="A2" s="600"/>
      <c r="B2" s="604"/>
      <c r="C2" s="605"/>
      <c r="D2" s="605"/>
      <c r="E2" s="605"/>
      <c r="F2" s="606"/>
      <c r="G2" s="608"/>
      <c r="H2" s="610"/>
      <c r="L2" s="611"/>
      <c r="M2" s="612"/>
      <c r="N2" s="613"/>
      <c r="O2" s="611"/>
      <c r="P2" s="77" t="s">
        <v>139</v>
      </c>
      <c r="Q2" s="78" t="s">
        <v>140</v>
      </c>
      <c r="R2" s="79" t="s">
        <v>141</v>
      </c>
      <c r="S2" s="80" t="s">
        <v>142</v>
      </c>
      <c r="T2" s="81" t="s">
        <v>143</v>
      </c>
      <c r="U2" s="82" t="s">
        <v>144</v>
      </c>
      <c r="V2" s="83" t="s">
        <v>145</v>
      </c>
      <c r="W2" s="84" t="s">
        <v>146</v>
      </c>
      <c r="X2" s="85" t="s">
        <v>147</v>
      </c>
    </row>
    <row r="3" spans="1:24" ht="15.95" customHeight="1" x14ac:dyDescent="0.25">
      <c r="A3" s="86">
        <v>0</v>
      </c>
      <c r="B3" s="587" t="s">
        <v>148</v>
      </c>
      <c r="C3" s="588"/>
      <c r="D3" s="588"/>
      <c r="E3" s="588"/>
      <c r="F3" s="589"/>
      <c r="G3" s="87">
        <v>6.45</v>
      </c>
      <c r="H3" s="87">
        <f t="shared" ref="H3:H8" si="0">A3*G3</f>
        <v>0</v>
      </c>
      <c r="L3" s="590" t="s">
        <v>149</v>
      </c>
      <c r="M3" s="591"/>
      <c r="N3" s="592"/>
      <c r="O3" s="88">
        <v>28.8</v>
      </c>
      <c r="P3" s="89">
        <v>89</v>
      </c>
      <c r="Q3" s="90">
        <v>95</v>
      </c>
      <c r="R3" s="91">
        <f>O3*3.45</f>
        <v>99.360000000000014</v>
      </c>
      <c r="S3" s="92">
        <f>O3*4.05</f>
        <v>116.64</v>
      </c>
      <c r="T3" s="93">
        <f>O3*4.1</f>
        <v>118.08</v>
      </c>
      <c r="U3" s="94">
        <f>O3*4.2</f>
        <v>120.96000000000001</v>
      </c>
      <c r="V3" s="95">
        <v>45</v>
      </c>
      <c r="W3" s="96">
        <v>45</v>
      </c>
      <c r="X3" s="97">
        <v>57</v>
      </c>
    </row>
    <row r="4" spans="1:24" ht="15.95" customHeight="1" x14ac:dyDescent="0.25">
      <c r="A4" s="98">
        <f>A3/4</f>
        <v>0</v>
      </c>
      <c r="B4" s="593" t="s">
        <v>150</v>
      </c>
      <c r="C4" s="594"/>
      <c r="D4" s="594"/>
      <c r="E4" s="594"/>
      <c r="F4" s="595"/>
      <c r="G4" s="99">
        <v>1.6</v>
      </c>
      <c r="H4" s="99">
        <f t="shared" si="0"/>
        <v>0</v>
      </c>
      <c r="L4" s="596" t="s">
        <v>151</v>
      </c>
      <c r="M4" s="597"/>
      <c r="N4" s="598"/>
      <c r="O4" s="100">
        <f>3*1.5*1*8</f>
        <v>36</v>
      </c>
      <c r="P4" s="101">
        <v>120</v>
      </c>
      <c r="Q4" s="102">
        <v>119</v>
      </c>
      <c r="R4" s="103">
        <f t="shared" ref="R4:R17" si="1">O4*3.45</f>
        <v>124.2</v>
      </c>
      <c r="S4" s="104">
        <f t="shared" ref="S4:S17" si="2">O4*4.05</f>
        <v>145.79999999999998</v>
      </c>
      <c r="T4" s="105">
        <f t="shared" ref="T4:T9" si="3">O4*4.1</f>
        <v>147.6</v>
      </c>
      <c r="U4" s="106">
        <f t="shared" ref="U4:U9" si="4">O4*4.2</f>
        <v>151.20000000000002</v>
      </c>
      <c r="V4" s="107">
        <v>55</v>
      </c>
      <c r="W4" s="108">
        <v>55</v>
      </c>
      <c r="X4" s="109">
        <v>71</v>
      </c>
    </row>
    <row r="5" spans="1:24" ht="15.95" customHeight="1" x14ac:dyDescent="0.25">
      <c r="A5" s="98">
        <f>A3/4</f>
        <v>0</v>
      </c>
      <c r="B5" s="593" t="s">
        <v>152</v>
      </c>
      <c r="C5" s="594"/>
      <c r="D5" s="594"/>
      <c r="E5" s="594"/>
      <c r="F5" s="595"/>
      <c r="G5" s="99">
        <v>6.9</v>
      </c>
      <c r="H5" s="99">
        <f t="shared" si="0"/>
        <v>0</v>
      </c>
      <c r="I5" s="575">
        <f>SUM(H3:H5)</f>
        <v>0</v>
      </c>
      <c r="J5" s="576"/>
      <c r="L5" s="596" t="s">
        <v>153</v>
      </c>
      <c r="M5" s="597"/>
      <c r="N5" s="598"/>
      <c r="O5" s="100">
        <f>3*1.5*1.2*8</f>
        <v>43.199999999999996</v>
      </c>
      <c r="P5" s="101">
        <v>134</v>
      </c>
      <c r="Q5" s="102">
        <v>200</v>
      </c>
      <c r="R5" s="103">
        <f t="shared" si="1"/>
        <v>149.04</v>
      </c>
      <c r="S5" s="104">
        <f t="shared" si="2"/>
        <v>174.95999999999998</v>
      </c>
      <c r="T5" s="105">
        <f t="shared" si="3"/>
        <v>177.11999999999998</v>
      </c>
      <c r="U5" s="106">
        <f t="shared" si="4"/>
        <v>181.44</v>
      </c>
      <c r="V5" s="107"/>
      <c r="W5" s="108"/>
      <c r="X5" s="109"/>
    </row>
    <row r="6" spans="1:24" ht="15.95" customHeight="1" x14ac:dyDescent="0.25">
      <c r="A6" s="98">
        <v>0</v>
      </c>
      <c r="B6" s="593" t="s">
        <v>154</v>
      </c>
      <c r="C6" s="594"/>
      <c r="D6" s="594"/>
      <c r="E6" s="594"/>
      <c r="F6" s="595"/>
      <c r="G6" s="99">
        <v>4.3499999999999996</v>
      </c>
      <c r="H6" s="99">
        <f t="shared" si="0"/>
        <v>0</v>
      </c>
      <c r="L6" s="596" t="s">
        <v>155</v>
      </c>
      <c r="M6" s="597"/>
      <c r="N6" s="598"/>
      <c r="O6" s="110">
        <v>54</v>
      </c>
      <c r="P6" s="101">
        <v>180</v>
      </c>
      <c r="Q6" s="102">
        <v>178</v>
      </c>
      <c r="R6" s="103">
        <f t="shared" si="1"/>
        <v>186.3</v>
      </c>
      <c r="S6" s="104">
        <f t="shared" si="2"/>
        <v>218.7</v>
      </c>
      <c r="T6" s="105">
        <f t="shared" si="3"/>
        <v>221.39999999999998</v>
      </c>
      <c r="U6" s="106">
        <f t="shared" si="4"/>
        <v>226.8</v>
      </c>
      <c r="V6" s="107">
        <v>82</v>
      </c>
      <c r="W6" s="108">
        <v>82</v>
      </c>
      <c r="X6" s="109">
        <v>106</v>
      </c>
    </row>
    <row r="7" spans="1:24" ht="15.95" customHeight="1" x14ac:dyDescent="0.25">
      <c r="A7" s="98">
        <v>0</v>
      </c>
      <c r="B7" s="593" t="s">
        <v>156</v>
      </c>
      <c r="C7" s="594"/>
      <c r="D7" s="594"/>
      <c r="E7" s="594"/>
      <c r="F7" s="595"/>
      <c r="G7" s="99">
        <v>4</v>
      </c>
      <c r="H7" s="99">
        <f t="shared" si="0"/>
        <v>0</v>
      </c>
      <c r="L7" s="111" t="s">
        <v>157</v>
      </c>
      <c r="M7" s="112"/>
      <c r="N7" s="113"/>
      <c r="O7" s="110">
        <v>72</v>
      </c>
      <c r="P7" s="101">
        <v>223</v>
      </c>
      <c r="Q7" s="102">
        <v>238</v>
      </c>
      <c r="R7" s="103">
        <f t="shared" si="1"/>
        <v>248.4</v>
      </c>
      <c r="S7" s="104">
        <f t="shared" si="2"/>
        <v>291.59999999999997</v>
      </c>
      <c r="T7" s="105">
        <f t="shared" si="3"/>
        <v>295.2</v>
      </c>
      <c r="U7" s="106">
        <f t="shared" si="4"/>
        <v>302.40000000000003</v>
      </c>
      <c r="V7" s="107">
        <v>110</v>
      </c>
      <c r="W7" s="108">
        <v>110</v>
      </c>
      <c r="X7" s="109">
        <v>141</v>
      </c>
    </row>
    <row r="8" spans="1:24" ht="15.95" customHeight="1" thickBot="1" x14ac:dyDescent="0.3">
      <c r="A8" s="114">
        <f>A6/6</f>
        <v>0</v>
      </c>
      <c r="B8" s="572" t="s">
        <v>158</v>
      </c>
      <c r="C8" s="573"/>
      <c r="D8" s="573"/>
      <c r="E8" s="573"/>
      <c r="F8" s="574"/>
      <c r="G8" s="115">
        <v>6</v>
      </c>
      <c r="H8" s="115">
        <f t="shared" si="0"/>
        <v>0</v>
      </c>
      <c r="I8" s="575">
        <f>SUM(H6:H8)</f>
        <v>0</v>
      </c>
      <c r="J8" s="576"/>
      <c r="L8" s="111" t="s">
        <v>159</v>
      </c>
      <c r="M8" s="112"/>
      <c r="N8" s="113"/>
      <c r="O8" s="110">
        <v>90</v>
      </c>
      <c r="P8" s="101">
        <v>279</v>
      </c>
      <c r="Q8" s="102">
        <v>297</v>
      </c>
      <c r="R8" s="103">
        <f t="shared" si="1"/>
        <v>310.5</v>
      </c>
      <c r="S8" s="104">
        <f t="shared" si="2"/>
        <v>364.5</v>
      </c>
      <c r="T8" s="105">
        <f t="shared" si="3"/>
        <v>368.99999999999994</v>
      </c>
      <c r="U8" s="106">
        <f t="shared" si="4"/>
        <v>378</v>
      </c>
      <c r="V8" s="107">
        <v>135</v>
      </c>
      <c r="W8" s="108">
        <f t="shared" ref="W8:W16" si="5">O8*1.5</f>
        <v>135</v>
      </c>
      <c r="X8" s="109">
        <v>176</v>
      </c>
    </row>
    <row r="9" spans="1:24" ht="15.95" customHeight="1" thickBot="1" x14ac:dyDescent="0.3">
      <c r="B9" s="116"/>
      <c r="H9" s="117">
        <f>SUM(H3:H8)</f>
        <v>0</v>
      </c>
      <c r="L9" s="111" t="s">
        <v>160</v>
      </c>
      <c r="M9" s="112"/>
      <c r="N9" s="113"/>
      <c r="O9" s="110">
        <v>108</v>
      </c>
      <c r="P9" s="101">
        <v>385</v>
      </c>
      <c r="Q9" s="102">
        <v>356</v>
      </c>
      <c r="R9" s="103">
        <f t="shared" si="1"/>
        <v>372.6</v>
      </c>
      <c r="S9" s="104">
        <f t="shared" si="2"/>
        <v>437.4</v>
      </c>
      <c r="T9" s="105">
        <f t="shared" si="3"/>
        <v>442.79999999999995</v>
      </c>
      <c r="U9" s="106">
        <f t="shared" si="4"/>
        <v>453.6</v>
      </c>
      <c r="V9" s="118"/>
      <c r="W9" s="108">
        <v>165</v>
      </c>
      <c r="X9" s="109">
        <v>211</v>
      </c>
    </row>
    <row r="10" spans="1:24" ht="15.95" customHeight="1" thickBot="1" x14ac:dyDescent="0.3">
      <c r="L10" s="111" t="s">
        <v>161</v>
      </c>
      <c r="M10" s="112"/>
      <c r="N10" s="113"/>
      <c r="O10" s="110">
        <v>144</v>
      </c>
      <c r="P10" s="101">
        <v>460</v>
      </c>
      <c r="Q10" s="119"/>
      <c r="R10" s="103">
        <f t="shared" si="1"/>
        <v>496.8</v>
      </c>
      <c r="S10" s="104">
        <f t="shared" si="2"/>
        <v>583.19999999999993</v>
      </c>
      <c r="T10" s="105"/>
      <c r="U10" s="120"/>
      <c r="V10" s="118"/>
      <c r="W10" s="108">
        <f t="shared" si="5"/>
        <v>216</v>
      </c>
      <c r="X10" s="109">
        <v>281</v>
      </c>
    </row>
    <row r="11" spans="1:24" ht="15.95" customHeight="1" thickBot="1" x14ac:dyDescent="0.3">
      <c r="H11" s="577" t="s">
        <v>8</v>
      </c>
      <c r="I11" s="578"/>
      <c r="J11" s="581" t="s">
        <v>162</v>
      </c>
      <c r="L11" s="111" t="s">
        <v>163</v>
      </c>
      <c r="M11" s="112"/>
      <c r="N11" s="113"/>
      <c r="O11" s="110">
        <v>180</v>
      </c>
      <c r="P11" s="121">
        <v>558</v>
      </c>
      <c r="Q11" s="119"/>
      <c r="R11" s="103">
        <f t="shared" si="1"/>
        <v>621</v>
      </c>
      <c r="S11" s="104">
        <f t="shared" si="2"/>
        <v>729</v>
      </c>
      <c r="T11" s="105"/>
      <c r="U11" s="120"/>
      <c r="V11" s="118"/>
      <c r="W11" s="108">
        <f t="shared" si="5"/>
        <v>270</v>
      </c>
      <c r="X11" s="109">
        <v>352</v>
      </c>
    </row>
    <row r="12" spans="1:24" ht="15.95" customHeight="1" thickBot="1" x14ac:dyDescent="0.3">
      <c r="A12" s="555" t="s">
        <v>164</v>
      </c>
      <c r="B12" s="558" t="s">
        <v>5</v>
      </c>
      <c r="C12" s="561" t="s">
        <v>165</v>
      </c>
      <c r="D12" s="564" t="s">
        <v>166</v>
      </c>
      <c r="E12" s="567" t="s">
        <v>167</v>
      </c>
      <c r="H12" s="579"/>
      <c r="I12" s="580"/>
      <c r="J12" s="582"/>
      <c r="L12" s="111" t="s">
        <v>168</v>
      </c>
      <c r="M12" s="112"/>
      <c r="N12" s="113"/>
      <c r="O12" s="110">
        <v>216</v>
      </c>
      <c r="P12" s="121">
        <v>669</v>
      </c>
      <c r="Q12" s="119"/>
      <c r="R12" s="103">
        <f t="shared" si="1"/>
        <v>745.2</v>
      </c>
      <c r="S12" s="104">
        <f t="shared" si="2"/>
        <v>874.8</v>
      </c>
      <c r="T12" s="105"/>
      <c r="U12" s="120"/>
      <c r="V12" s="118"/>
      <c r="W12" s="108">
        <v>325</v>
      </c>
      <c r="X12" s="109">
        <v>422</v>
      </c>
    </row>
    <row r="13" spans="1:24" ht="15.95" customHeight="1" x14ac:dyDescent="0.25">
      <c r="A13" s="556"/>
      <c r="B13" s="559"/>
      <c r="C13" s="562"/>
      <c r="D13" s="565"/>
      <c r="E13" s="568"/>
      <c r="H13" s="570" t="s">
        <v>13</v>
      </c>
      <c r="I13" s="571"/>
      <c r="J13" s="22">
        <v>1.6</v>
      </c>
      <c r="L13" s="111" t="s">
        <v>169</v>
      </c>
      <c r="M13" s="112"/>
      <c r="N13" s="113"/>
      <c r="O13" s="110">
        <v>288</v>
      </c>
      <c r="P13" s="121">
        <v>892</v>
      </c>
      <c r="Q13" s="119"/>
      <c r="R13" s="103">
        <f t="shared" si="1"/>
        <v>993.6</v>
      </c>
      <c r="S13" s="104">
        <f t="shared" si="2"/>
        <v>1166.3999999999999</v>
      </c>
      <c r="T13" s="105"/>
      <c r="U13" s="120"/>
      <c r="V13" s="118"/>
      <c r="W13" s="108">
        <v>435</v>
      </c>
      <c r="X13" s="109">
        <v>562</v>
      </c>
    </row>
    <row r="14" spans="1:24" ht="15.95" customHeight="1" thickBot="1" x14ac:dyDescent="0.3">
      <c r="A14" s="557"/>
      <c r="B14" s="560"/>
      <c r="C14" s="563"/>
      <c r="D14" s="566"/>
      <c r="E14" s="569"/>
      <c r="H14" s="551" t="s">
        <v>84</v>
      </c>
      <c r="I14" s="552"/>
      <c r="J14" s="29">
        <v>4.5</v>
      </c>
      <c r="L14" s="111" t="s">
        <v>170</v>
      </c>
      <c r="M14" s="112"/>
      <c r="N14" s="113"/>
      <c r="O14" s="110">
        <v>360</v>
      </c>
      <c r="P14" s="121">
        <v>1160</v>
      </c>
      <c r="Q14" s="122"/>
      <c r="R14" s="103">
        <f t="shared" si="1"/>
        <v>1242</v>
      </c>
      <c r="S14" s="104">
        <f t="shared" si="2"/>
        <v>1458</v>
      </c>
      <c r="T14" s="105"/>
      <c r="U14" s="120"/>
      <c r="V14" s="118"/>
      <c r="W14" s="108">
        <f t="shared" si="5"/>
        <v>540</v>
      </c>
      <c r="X14" s="109">
        <v>705</v>
      </c>
    </row>
    <row r="15" spans="1:24" ht="15.95" customHeight="1" x14ac:dyDescent="0.25">
      <c r="A15" s="221">
        <f>JUANO!V51</f>
        <v>6</v>
      </c>
      <c r="B15" s="123" t="str">
        <f>JUANO!W51</f>
        <v>ANODIZADO</v>
      </c>
      <c r="C15" s="225">
        <f>JUANO!Y51</f>
        <v>14.841630000000002</v>
      </c>
      <c r="D15" s="228">
        <f>2*1*2.7*A15</f>
        <v>32.400000000000006</v>
      </c>
      <c r="E15" s="124">
        <f>C15/D15</f>
        <v>0.45807500000000001</v>
      </c>
      <c r="H15" s="551" t="s">
        <v>85</v>
      </c>
      <c r="I15" s="552"/>
      <c r="J15" s="29">
        <v>5.6</v>
      </c>
      <c r="L15" s="111" t="s">
        <v>171</v>
      </c>
      <c r="M15" s="112"/>
      <c r="N15" s="113"/>
      <c r="O15" s="110">
        <v>432</v>
      </c>
      <c r="P15" s="121">
        <v>1340</v>
      </c>
      <c r="Q15" s="122"/>
      <c r="R15" s="103">
        <f t="shared" si="1"/>
        <v>1490.4</v>
      </c>
      <c r="S15" s="104">
        <f t="shared" si="2"/>
        <v>1749.6</v>
      </c>
      <c r="T15" s="105"/>
      <c r="U15" s="120"/>
      <c r="V15" s="118"/>
      <c r="W15" s="108">
        <v>650</v>
      </c>
      <c r="X15" s="109">
        <v>845</v>
      </c>
    </row>
    <row r="16" spans="1:24" ht="15.95" customHeight="1" x14ac:dyDescent="0.25">
      <c r="A16" s="222">
        <f>JUANO!V52</f>
        <v>0</v>
      </c>
      <c r="B16" s="220">
        <f>JUANO!W52</f>
        <v>0</v>
      </c>
      <c r="C16" s="226">
        <f>JUANO!Y52</f>
        <v>0</v>
      </c>
      <c r="D16" s="229">
        <f t="shared" ref="D16:D35" si="6">3*1.5*8*A16</f>
        <v>0</v>
      </c>
      <c r="E16" s="125" t="e">
        <f t="shared" ref="E16:E33" si="7">C16/D16</f>
        <v>#DIV/0!</v>
      </c>
      <c r="H16" s="551" t="s">
        <v>54</v>
      </c>
      <c r="I16" s="552"/>
      <c r="J16" s="29">
        <v>4.6500000000000004</v>
      </c>
      <c r="L16" s="111" t="s">
        <v>172</v>
      </c>
      <c r="M16" s="112"/>
      <c r="N16" s="113"/>
      <c r="O16" s="110">
        <v>540</v>
      </c>
      <c r="P16" s="121">
        <v>1674</v>
      </c>
      <c r="Q16" s="122"/>
      <c r="R16" s="103">
        <f t="shared" si="1"/>
        <v>1863</v>
      </c>
      <c r="S16" s="104">
        <f t="shared" si="2"/>
        <v>2187</v>
      </c>
      <c r="T16" s="105"/>
      <c r="U16" s="120"/>
      <c r="V16" s="118"/>
      <c r="W16" s="108">
        <f t="shared" si="5"/>
        <v>810</v>
      </c>
      <c r="X16" s="109">
        <v>1055</v>
      </c>
    </row>
    <row r="17" spans="1:24" ht="15.95" customHeight="1" x14ac:dyDescent="0.25">
      <c r="A17" s="222">
        <f>JUANO!V53</f>
        <v>0</v>
      </c>
      <c r="B17" s="220">
        <f>JUANO!W53</f>
        <v>0</v>
      </c>
      <c r="C17" s="226">
        <f>JUANO!Y53</f>
        <v>0</v>
      </c>
      <c r="D17" s="229">
        <f t="shared" si="6"/>
        <v>0</v>
      </c>
      <c r="E17" s="125" t="e">
        <f t="shared" si="7"/>
        <v>#DIV/0!</v>
      </c>
      <c r="H17" s="551" t="s">
        <v>97</v>
      </c>
      <c r="I17" s="552"/>
      <c r="J17" s="29">
        <v>6.95</v>
      </c>
      <c r="L17" s="111" t="s">
        <v>173</v>
      </c>
      <c r="M17" s="112"/>
      <c r="N17" s="113"/>
      <c r="O17" s="110">
        <v>648</v>
      </c>
      <c r="P17" s="121">
        <v>2009</v>
      </c>
      <c r="Q17" s="126"/>
      <c r="R17" s="103">
        <f t="shared" si="1"/>
        <v>2235.6</v>
      </c>
      <c r="S17" s="104">
        <f t="shared" si="2"/>
        <v>2624.4</v>
      </c>
      <c r="T17" s="105"/>
      <c r="U17" s="120"/>
      <c r="V17" s="127"/>
      <c r="W17" s="108">
        <v>975</v>
      </c>
      <c r="X17" s="109">
        <v>1270</v>
      </c>
    </row>
    <row r="18" spans="1:24" ht="15" customHeight="1" thickBot="1" x14ac:dyDescent="0.3">
      <c r="A18" s="222">
        <f>JUANO!V54</f>
        <v>0</v>
      </c>
      <c r="B18" s="220">
        <f>JUANO!W54</f>
        <v>0</v>
      </c>
      <c r="C18" s="226">
        <f>JUANO!Y54</f>
        <v>0</v>
      </c>
      <c r="D18" s="229">
        <f t="shared" si="6"/>
        <v>0</v>
      </c>
      <c r="E18" s="125" t="e">
        <f t="shared" si="7"/>
        <v>#DIV/0!</v>
      </c>
      <c r="H18" s="551" t="s">
        <v>86</v>
      </c>
      <c r="I18" s="552"/>
      <c r="J18" s="29">
        <v>5.3</v>
      </c>
      <c r="L18" s="128" t="s">
        <v>174</v>
      </c>
      <c r="M18" s="129"/>
      <c r="N18" s="130"/>
      <c r="O18" s="131">
        <f>3*1.5*20*8</f>
        <v>720</v>
      </c>
      <c r="P18" s="132">
        <v>2232</v>
      </c>
      <c r="Q18" s="133"/>
      <c r="R18" s="134">
        <f>O18*3.45</f>
        <v>2484</v>
      </c>
      <c r="S18" s="135">
        <f>O18*4.05</f>
        <v>2916</v>
      </c>
      <c r="T18" s="136"/>
      <c r="U18" s="137"/>
      <c r="V18" s="138"/>
      <c r="W18" s="139">
        <f>+O18*1.5</f>
        <v>1080</v>
      </c>
      <c r="X18" s="140">
        <f>+O18*1.95</f>
        <v>1404</v>
      </c>
    </row>
    <row r="19" spans="1:24" ht="15" customHeight="1" x14ac:dyDescent="0.2">
      <c r="A19" s="222">
        <f>JUANO!V55</f>
        <v>0</v>
      </c>
      <c r="B19" s="220">
        <f>JUANO!W55</f>
        <v>0</v>
      </c>
      <c r="C19" s="226">
        <f>JUANO!Y55</f>
        <v>0</v>
      </c>
      <c r="D19" s="229">
        <f t="shared" si="6"/>
        <v>0</v>
      </c>
      <c r="E19" s="125" t="e">
        <f t="shared" si="7"/>
        <v>#DIV/0!</v>
      </c>
      <c r="H19" s="551" t="s">
        <v>87</v>
      </c>
      <c r="I19" s="552"/>
      <c r="J19" s="29">
        <v>4.8</v>
      </c>
    </row>
    <row r="20" spans="1:24" ht="15" customHeight="1" thickBot="1" x14ac:dyDescent="0.25">
      <c r="A20" s="222">
        <f>JUANO!V56</f>
        <v>0</v>
      </c>
      <c r="B20" s="220">
        <f>JUANO!W56</f>
        <v>0</v>
      </c>
      <c r="C20" s="226">
        <f>JUANO!Y56</f>
        <v>0</v>
      </c>
      <c r="D20" s="229">
        <f t="shared" si="6"/>
        <v>0</v>
      </c>
      <c r="E20" s="125" t="e">
        <f t="shared" si="7"/>
        <v>#DIV/0!</v>
      </c>
      <c r="H20" s="553" t="s">
        <v>99</v>
      </c>
      <c r="I20" s="554"/>
      <c r="J20" s="33">
        <v>6.2</v>
      </c>
    </row>
    <row r="21" spans="1:24" ht="15" customHeight="1" x14ac:dyDescent="0.2">
      <c r="A21" s="222">
        <f>JUANO!V57</f>
        <v>0</v>
      </c>
      <c r="B21" s="220">
        <f>JUANO!W57</f>
        <v>0</v>
      </c>
      <c r="C21" s="226">
        <f>JUANO!Y57</f>
        <v>0</v>
      </c>
      <c r="D21" s="229">
        <f t="shared" si="6"/>
        <v>0</v>
      </c>
      <c r="E21" s="125" t="e">
        <f t="shared" si="7"/>
        <v>#DIV/0!</v>
      </c>
      <c r="L21" s="537" t="s">
        <v>175</v>
      </c>
      <c r="M21" s="538"/>
      <c r="N21" s="538"/>
      <c r="O21" s="539"/>
      <c r="P21" s="543" t="s">
        <v>176</v>
      </c>
      <c r="Q21" s="545" t="s">
        <v>177</v>
      </c>
      <c r="R21" s="547" t="s">
        <v>178</v>
      </c>
      <c r="S21" s="547" t="s">
        <v>179</v>
      </c>
      <c r="T21" s="549" t="s">
        <v>180</v>
      </c>
      <c r="U21" s="525" t="s">
        <v>181</v>
      </c>
      <c r="V21" s="527" t="s">
        <v>182</v>
      </c>
    </row>
    <row r="22" spans="1:24" ht="15" customHeight="1" thickBot="1" x14ac:dyDescent="0.25">
      <c r="A22" s="222">
        <f>JUANO!V58</f>
        <v>0</v>
      </c>
      <c r="B22" s="220">
        <f>JUANO!W58</f>
        <v>0</v>
      </c>
      <c r="C22" s="226">
        <f>JUANO!Y58</f>
        <v>0</v>
      </c>
      <c r="D22" s="229">
        <f t="shared" si="6"/>
        <v>0</v>
      </c>
      <c r="E22" s="125" t="e">
        <f t="shared" si="7"/>
        <v>#DIV/0!</v>
      </c>
      <c r="L22" s="540"/>
      <c r="M22" s="541"/>
      <c r="N22" s="541"/>
      <c r="O22" s="542"/>
      <c r="P22" s="544"/>
      <c r="Q22" s="546"/>
      <c r="R22" s="548"/>
      <c r="S22" s="548"/>
      <c r="T22" s="550"/>
      <c r="U22" s="526"/>
      <c r="V22" s="528"/>
    </row>
    <row r="23" spans="1:24" ht="15" customHeight="1" x14ac:dyDescent="0.2">
      <c r="A23" s="222">
        <f>JUANO!V59</f>
        <v>0</v>
      </c>
      <c r="B23" s="220">
        <f>JUANO!W59</f>
        <v>0</v>
      </c>
      <c r="C23" s="226">
        <f>JUANO!Y59</f>
        <v>0</v>
      </c>
      <c r="D23" s="229">
        <f t="shared" si="6"/>
        <v>0</v>
      </c>
      <c r="E23" s="125" t="e">
        <f t="shared" si="7"/>
        <v>#DIV/0!</v>
      </c>
      <c r="L23" s="141" t="s">
        <v>155</v>
      </c>
      <c r="M23" s="142"/>
      <c r="N23" s="142"/>
      <c r="O23" s="143"/>
      <c r="P23" s="144" t="s">
        <v>183</v>
      </c>
      <c r="Q23" s="145">
        <f>2.7*19</f>
        <v>51.300000000000004</v>
      </c>
      <c r="R23" s="146">
        <f>3*19</f>
        <v>57</v>
      </c>
      <c r="S23" s="146"/>
      <c r="T23" s="146"/>
      <c r="U23" s="146" t="s">
        <v>184</v>
      </c>
      <c r="V23" s="147"/>
    </row>
    <row r="24" spans="1:24" ht="15" customHeight="1" x14ac:dyDescent="0.2">
      <c r="A24" s="222">
        <f>JUANO!V60</f>
        <v>0</v>
      </c>
      <c r="B24" s="220">
        <f>JUANO!W60</f>
        <v>0</v>
      </c>
      <c r="C24" s="226">
        <f>JUANO!Y60</f>
        <v>0</v>
      </c>
      <c r="D24" s="229">
        <f t="shared" si="6"/>
        <v>0</v>
      </c>
      <c r="E24" s="125" t="e">
        <f t="shared" si="7"/>
        <v>#DIV/0!</v>
      </c>
      <c r="L24" s="148" t="s">
        <v>185</v>
      </c>
      <c r="M24" s="149"/>
      <c r="N24" s="149"/>
      <c r="O24" s="150"/>
      <c r="P24" s="151" t="s">
        <v>186</v>
      </c>
      <c r="Q24" s="152"/>
      <c r="R24" s="153"/>
      <c r="S24" s="153"/>
      <c r="T24" s="153"/>
      <c r="U24" s="154" t="s">
        <v>187</v>
      </c>
      <c r="V24" s="155"/>
    </row>
    <row r="25" spans="1:24" ht="15" customHeight="1" x14ac:dyDescent="0.2">
      <c r="A25" s="222">
        <f>JUANO!V61</f>
        <v>0</v>
      </c>
      <c r="B25" s="220">
        <f>JUANO!W61</f>
        <v>0</v>
      </c>
      <c r="C25" s="226">
        <f>JUANO!Y61</f>
        <v>0</v>
      </c>
      <c r="D25" s="229">
        <f t="shared" si="6"/>
        <v>0</v>
      </c>
      <c r="E25" s="125" t="e">
        <f t="shared" si="7"/>
        <v>#DIV/0!</v>
      </c>
      <c r="L25" s="156" t="s">
        <v>157</v>
      </c>
      <c r="M25" s="157"/>
      <c r="N25" s="157"/>
      <c r="O25" s="158"/>
      <c r="P25" s="151" t="s">
        <v>188</v>
      </c>
      <c r="Q25" s="159">
        <f>2.7*25</f>
        <v>67.5</v>
      </c>
      <c r="R25" s="154">
        <f>3*25</f>
        <v>75</v>
      </c>
      <c r="S25" s="154"/>
      <c r="T25" s="154">
        <v>89</v>
      </c>
      <c r="U25" s="154"/>
      <c r="V25" s="160"/>
    </row>
    <row r="26" spans="1:24" ht="15" customHeight="1" x14ac:dyDescent="0.2">
      <c r="A26" s="222">
        <f>JUANO!V62</f>
        <v>0</v>
      </c>
      <c r="B26" s="220">
        <f>JUANO!W62</f>
        <v>0</v>
      </c>
      <c r="C26" s="226">
        <f>JUANO!Y62</f>
        <v>0</v>
      </c>
      <c r="D26" s="229">
        <f t="shared" si="6"/>
        <v>0</v>
      </c>
      <c r="E26" s="125" t="e">
        <f t="shared" si="7"/>
        <v>#DIV/0!</v>
      </c>
      <c r="L26" s="156" t="s">
        <v>159</v>
      </c>
      <c r="M26" s="157"/>
      <c r="N26" s="157"/>
      <c r="O26" s="158"/>
      <c r="P26" s="151" t="s">
        <v>189</v>
      </c>
      <c r="Q26" s="159">
        <f>2.7*31</f>
        <v>83.7</v>
      </c>
      <c r="R26" s="154">
        <f>3*31</f>
        <v>93</v>
      </c>
      <c r="S26" s="154"/>
      <c r="T26" s="154"/>
      <c r="U26" s="154"/>
      <c r="V26" s="160"/>
    </row>
    <row r="27" spans="1:24" ht="15" customHeight="1" x14ac:dyDescent="0.2">
      <c r="A27" s="222">
        <f>JUANO!V63</f>
        <v>0</v>
      </c>
      <c r="B27" s="220">
        <f>JUANO!W63</f>
        <v>0</v>
      </c>
      <c r="C27" s="226">
        <f>JUANO!Y63</f>
        <v>0</v>
      </c>
      <c r="D27" s="229">
        <f t="shared" si="6"/>
        <v>0</v>
      </c>
      <c r="E27" s="125" t="e">
        <f t="shared" si="7"/>
        <v>#DIV/0!</v>
      </c>
      <c r="L27" s="161" t="s">
        <v>190</v>
      </c>
      <c r="M27" s="162"/>
      <c r="N27" s="162"/>
      <c r="O27" s="163"/>
      <c r="P27" s="164"/>
      <c r="Q27" s="165"/>
      <c r="R27" s="166"/>
      <c r="S27" s="167">
        <v>195</v>
      </c>
      <c r="T27" s="167"/>
      <c r="U27" s="167"/>
      <c r="V27" s="168"/>
    </row>
    <row r="28" spans="1:24" ht="15" customHeight="1" x14ac:dyDescent="0.2">
      <c r="A28" s="222">
        <f>JUANO!V64</f>
        <v>0</v>
      </c>
      <c r="B28" s="220">
        <f>JUANO!W64</f>
        <v>0</v>
      </c>
      <c r="C28" s="226">
        <f>JUANO!Y64</f>
        <v>0</v>
      </c>
      <c r="D28" s="229">
        <f t="shared" si="6"/>
        <v>0</v>
      </c>
      <c r="E28" s="125" t="e">
        <f t="shared" si="7"/>
        <v>#DIV/0!</v>
      </c>
      <c r="L28" s="161" t="s">
        <v>191</v>
      </c>
      <c r="M28" s="162"/>
      <c r="N28" s="162"/>
      <c r="O28" s="163"/>
      <c r="P28" s="164"/>
      <c r="Q28" s="165"/>
      <c r="R28" s="166"/>
      <c r="S28" s="167">
        <v>140</v>
      </c>
      <c r="T28" s="167"/>
      <c r="U28" s="167"/>
      <c r="V28" s="168"/>
    </row>
    <row r="29" spans="1:24" ht="15" customHeight="1" x14ac:dyDescent="0.2">
      <c r="A29" s="222">
        <f>JUANO!V65</f>
        <v>0</v>
      </c>
      <c r="B29" s="220">
        <f>JUANO!W65</f>
        <v>0</v>
      </c>
      <c r="C29" s="226">
        <f>JUANO!Y65</f>
        <v>0</v>
      </c>
      <c r="D29" s="229">
        <f t="shared" si="6"/>
        <v>0</v>
      </c>
      <c r="E29" s="125" t="e">
        <f t="shared" si="7"/>
        <v>#DIV/0!</v>
      </c>
      <c r="L29" s="161" t="s">
        <v>192</v>
      </c>
      <c r="M29" s="162"/>
      <c r="N29" s="162"/>
      <c r="O29" s="163"/>
      <c r="P29" s="169"/>
      <c r="Q29" s="170"/>
      <c r="R29" s="166"/>
      <c r="S29" s="166"/>
      <c r="T29" s="166"/>
      <c r="U29" s="167" t="s">
        <v>193</v>
      </c>
      <c r="V29" s="168"/>
    </row>
    <row r="30" spans="1:24" ht="15" customHeight="1" x14ac:dyDescent="0.2">
      <c r="A30" s="222">
        <f>JUANO!V66</f>
        <v>0</v>
      </c>
      <c r="B30" s="220">
        <f>JUANO!W66</f>
        <v>0</v>
      </c>
      <c r="C30" s="226">
        <f>JUANO!Y66</f>
        <v>0</v>
      </c>
      <c r="D30" s="229">
        <f t="shared" si="6"/>
        <v>0</v>
      </c>
      <c r="E30" s="125" t="e">
        <f t="shared" si="7"/>
        <v>#DIV/0!</v>
      </c>
      <c r="L30" s="156" t="s">
        <v>160</v>
      </c>
      <c r="M30" s="157"/>
      <c r="N30" s="157"/>
      <c r="O30" s="158"/>
      <c r="P30" s="151" t="s">
        <v>194</v>
      </c>
      <c r="Q30" s="159">
        <f>2.7*37</f>
        <v>99.9</v>
      </c>
      <c r="R30" s="154">
        <f>3*37</f>
        <v>111</v>
      </c>
      <c r="S30" s="154"/>
      <c r="T30" s="154">
        <v>132</v>
      </c>
      <c r="U30" s="171" t="s">
        <v>195</v>
      </c>
      <c r="V30" s="160">
        <v>4.55</v>
      </c>
    </row>
    <row r="31" spans="1:24" ht="15" customHeight="1" x14ac:dyDescent="0.2">
      <c r="A31" s="222">
        <f>JUANO!V67</f>
        <v>0</v>
      </c>
      <c r="B31" s="220">
        <f>JUANO!W67</f>
        <v>0</v>
      </c>
      <c r="C31" s="226">
        <f>JUANO!Y67</f>
        <v>0</v>
      </c>
      <c r="D31" s="229">
        <f t="shared" si="6"/>
        <v>0</v>
      </c>
      <c r="E31" s="125" t="e">
        <f t="shared" si="7"/>
        <v>#DIV/0!</v>
      </c>
      <c r="L31" s="148" t="s">
        <v>196</v>
      </c>
      <c r="M31" s="149"/>
      <c r="N31" s="149"/>
      <c r="O31" s="150"/>
      <c r="P31" s="151" t="s">
        <v>197</v>
      </c>
      <c r="Q31" s="152"/>
      <c r="R31" s="153"/>
      <c r="S31" s="153"/>
      <c r="T31" s="153"/>
      <c r="U31" s="171" t="s">
        <v>198</v>
      </c>
      <c r="V31" s="155"/>
    </row>
    <row r="32" spans="1:24" ht="15" customHeight="1" x14ac:dyDescent="0.2">
      <c r="A32" s="222">
        <f>JUANO!V68</f>
        <v>0</v>
      </c>
      <c r="B32" s="220">
        <f>JUANO!W68</f>
        <v>0</v>
      </c>
      <c r="C32" s="226">
        <f>JUANO!Y68</f>
        <v>0</v>
      </c>
      <c r="D32" s="229">
        <f t="shared" si="6"/>
        <v>0</v>
      </c>
      <c r="E32" s="125" t="e">
        <f t="shared" si="7"/>
        <v>#DIV/0!</v>
      </c>
      <c r="L32" s="156" t="s">
        <v>161</v>
      </c>
      <c r="M32" s="157"/>
      <c r="N32" s="157"/>
      <c r="O32" s="158"/>
      <c r="P32" s="151" t="s">
        <v>199</v>
      </c>
      <c r="Q32" s="159">
        <f>2.7*50</f>
        <v>135</v>
      </c>
      <c r="R32" s="154">
        <v>150</v>
      </c>
      <c r="S32" s="154"/>
      <c r="T32" s="154">
        <f>3.2*50</f>
        <v>160</v>
      </c>
      <c r="U32" s="154"/>
      <c r="V32" s="160"/>
    </row>
    <row r="33" spans="1:22" ht="15" customHeight="1" x14ac:dyDescent="0.2">
      <c r="A33" s="222">
        <f>JUANO!V69</f>
        <v>0</v>
      </c>
      <c r="B33" s="220">
        <f>JUANO!W69</f>
        <v>0</v>
      </c>
      <c r="C33" s="226">
        <f>JUANO!Y69</f>
        <v>0</v>
      </c>
      <c r="D33" s="229">
        <f t="shared" si="6"/>
        <v>0</v>
      </c>
      <c r="E33" s="125" t="e">
        <f t="shared" si="7"/>
        <v>#DIV/0!</v>
      </c>
      <c r="L33" s="156" t="s">
        <v>163</v>
      </c>
      <c r="M33" s="157"/>
      <c r="N33" s="157"/>
      <c r="O33" s="158"/>
      <c r="P33" s="151" t="s">
        <v>200</v>
      </c>
      <c r="Q33" s="159">
        <f>3*61</f>
        <v>183</v>
      </c>
      <c r="R33" s="154">
        <v>196</v>
      </c>
      <c r="S33" s="154"/>
      <c r="T33" s="154">
        <v>196</v>
      </c>
      <c r="U33" s="154"/>
      <c r="V33" s="160"/>
    </row>
    <row r="34" spans="1:22" ht="15" customHeight="1" x14ac:dyDescent="0.2">
      <c r="A34" s="222">
        <f>JUANO!V70</f>
        <v>0</v>
      </c>
      <c r="B34" s="220">
        <f>JUANO!W70</f>
        <v>0</v>
      </c>
      <c r="C34" s="226">
        <f>JUANO!Y70</f>
        <v>0</v>
      </c>
      <c r="D34" s="229">
        <f t="shared" si="6"/>
        <v>0</v>
      </c>
      <c r="E34" s="125" t="e">
        <f>C34/D34</f>
        <v>#DIV/0!</v>
      </c>
      <c r="L34" s="156" t="s">
        <v>168</v>
      </c>
      <c r="M34" s="157"/>
      <c r="N34" s="157"/>
      <c r="O34" s="158"/>
      <c r="P34" s="151" t="s">
        <v>201</v>
      </c>
      <c r="Q34" s="159">
        <f>74*3</f>
        <v>222</v>
      </c>
      <c r="R34" s="154">
        <v>237</v>
      </c>
      <c r="S34" s="154"/>
      <c r="T34" s="154">
        <v>237</v>
      </c>
      <c r="U34" s="154"/>
      <c r="V34" s="160"/>
    </row>
    <row r="35" spans="1:22" ht="16.5" thickBot="1" x14ac:dyDescent="0.25">
      <c r="A35" s="223">
        <f>JUANO!V71</f>
        <v>0</v>
      </c>
      <c r="B35" s="224">
        <f>JUANO!W71</f>
        <v>0</v>
      </c>
      <c r="C35" s="227">
        <f>JUANO!Y71</f>
        <v>0</v>
      </c>
      <c r="D35" s="230">
        <f t="shared" si="6"/>
        <v>0</v>
      </c>
      <c r="E35" s="172" t="e">
        <f>C35/D35</f>
        <v>#DIV/0!</v>
      </c>
      <c r="L35" s="148" t="s">
        <v>202</v>
      </c>
      <c r="M35" s="149"/>
      <c r="N35" s="149"/>
      <c r="O35" s="150"/>
      <c r="P35" s="151" t="s">
        <v>203</v>
      </c>
      <c r="Q35" s="152"/>
      <c r="R35" s="153"/>
      <c r="S35" s="153"/>
      <c r="T35" s="153"/>
      <c r="U35" s="154" t="s">
        <v>204</v>
      </c>
      <c r="V35" s="155"/>
    </row>
    <row r="36" spans="1:22" ht="15.75" x14ac:dyDescent="0.2">
      <c r="L36" s="156" t="s">
        <v>169</v>
      </c>
      <c r="M36" s="157"/>
      <c r="N36" s="157"/>
      <c r="O36" s="158"/>
      <c r="P36" s="151" t="s">
        <v>205</v>
      </c>
      <c r="Q36" s="159"/>
      <c r="R36" s="154">
        <f>3.2*100</f>
        <v>320</v>
      </c>
      <c r="S36" s="154"/>
      <c r="T36" s="154">
        <f>3.2*100</f>
        <v>320</v>
      </c>
      <c r="U36" s="154"/>
      <c r="V36" s="160"/>
    </row>
    <row r="37" spans="1:22" ht="16.5" thickBot="1" x14ac:dyDescent="0.25">
      <c r="L37" s="156" t="s">
        <v>170</v>
      </c>
      <c r="M37" s="157"/>
      <c r="N37" s="157"/>
      <c r="O37" s="158"/>
      <c r="P37" s="151" t="s">
        <v>206</v>
      </c>
      <c r="Q37" s="159"/>
      <c r="R37" s="154">
        <v>391</v>
      </c>
      <c r="S37" s="154"/>
      <c r="T37" s="154">
        <v>391</v>
      </c>
      <c r="U37" s="154"/>
      <c r="V37" s="160"/>
    </row>
    <row r="38" spans="1:22" ht="16.5" thickBot="1" x14ac:dyDescent="0.25">
      <c r="A38" s="529" t="s">
        <v>207</v>
      </c>
      <c r="B38" s="530"/>
      <c r="C38" s="530"/>
      <c r="D38" s="530"/>
      <c r="E38" s="530"/>
      <c r="F38" s="530"/>
      <c r="G38" s="173" t="s">
        <v>208</v>
      </c>
      <c r="H38" s="173" t="s">
        <v>134</v>
      </c>
      <c r="I38" s="529" t="s">
        <v>135</v>
      </c>
      <c r="J38" s="531"/>
      <c r="L38" s="156" t="s">
        <v>171</v>
      </c>
      <c r="M38" s="157"/>
      <c r="N38" s="157"/>
      <c r="O38" s="158"/>
      <c r="P38" s="151" t="s">
        <v>209</v>
      </c>
      <c r="Q38" s="159"/>
      <c r="R38" s="154"/>
      <c r="S38" s="154"/>
      <c r="T38" s="154">
        <f>3.2*150</f>
        <v>480</v>
      </c>
      <c r="U38" s="154"/>
      <c r="V38" s="160"/>
    </row>
    <row r="39" spans="1:22" ht="16.5" thickBot="1" x14ac:dyDescent="0.25">
      <c r="A39" s="532"/>
      <c r="B39" s="533"/>
      <c r="C39" s="533"/>
      <c r="D39" s="533"/>
      <c r="E39" s="533"/>
      <c r="F39" s="534"/>
      <c r="G39" s="174"/>
      <c r="H39" s="175"/>
      <c r="I39" s="535">
        <f>G39*H39</f>
        <v>0</v>
      </c>
      <c r="J39" s="536"/>
      <c r="L39" s="176" t="s">
        <v>172</v>
      </c>
      <c r="M39" s="177"/>
      <c r="N39" s="177"/>
      <c r="O39" s="178"/>
      <c r="P39" s="179" t="s">
        <v>210</v>
      </c>
      <c r="Q39" s="180"/>
      <c r="R39" s="181"/>
      <c r="S39" s="181"/>
      <c r="T39" s="181">
        <f>3.2*190</f>
        <v>608</v>
      </c>
      <c r="U39" s="181"/>
      <c r="V39" s="182"/>
    </row>
    <row r="40" spans="1:22" ht="15" customHeight="1" x14ac:dyDescent="0.2">
      <c r="A40" s="499"/>
      <c r="B40" s="500"/>
      <c r="C40" s="500"/>
      <c r="D40" s="500"/>
      <c r="E40" s="500"/>
      <c r="F40" s="501"/>
      <c r="G40" s="183"/>
      <c r="H40" s="184"/>
      <c r="I40" s="502">
        <f t="shared" ref="I40:I66" si="8">G40*H40</f>
        <v>0</v>
      </c>
      <c r="J40" s="503"/>
    </row>
    <row r="41" spans="1:22" ht="15" customHeight="1" x14ac:dyDescent="0.2">
      <c r="A41" s="499"/>
      <c r="B41" s="500"/>
      <c r="C41" s="500"/>
      <c r="D41" s="500"/>
      <c r="E41" s="500"/>
      <c r="F41" s="501"/>
      <c r="G41" s="185"/>
      <c r="H41" s="186"/>
      <c r="I41" s="502">
        <f t="shared" si="8"/>
        <v>0</v>
      </c>
      <c r="J41" s="503"/>
    </row>
    <row r="42" spans="1:22" ht="18" customHeight="1" thickBot="1" x14ac:dyDescent="0.25">
      <c r="A42" s="499"/>
      <c r="B42" s="500"/>
      <c r="C42" s="500"/>
      <c r="D42" s="500"/>
      <c r="E42" s="500"/>
      <c r="F42" s="501"/>
      <c r="G42" s="185"/>
      <c r="H42" s="186"/>
      <c r="I42" s="502">
        <f t="shared" si="8"/>
        <v>0</v>
      </c>
      <c r="J42" s="503"/>
    </row>
    <row r="43" spans="1:22" x14ac:dyDescent="0.2">
      <c r="A43" s="499"/>
      <c r="B43" s="500"/>
      <c r="C43" s="500"/>
      <c r="D43" s="500"/>
      <c r="E43" s="500"/>
      <c r="F43" s="501"/>
      <c r="G43" s="185"/>
      <c r="H43" s="186"/>
      <c r="I43" s="502">
        <f t="shared" si="8"/>
        <v>0</v>
      </c>
      <c r="J43" s="503"/>
      <c r="L43" s="509" t="s">
        <v>211</v>
      </c>
      <c r="M43" s="510"/>
      <c r="N43" s="510"/>
      <c r="O43" s="511"/>
      <c r="P43" s="518" t="s">
        <v>212</v>
      </c>
      <c r="Q43" s="521" t="s">
        <v>213</v>
      </c>
      <c r="R43" s="522"/>
    </row>
    <row r="44" spans="1:22" ht="13.5" thickBot="1" x14ac:dyDescent="0.25">
      <c r="A44" s="499"/>
      <c r="B44" s="500"/>
      <c r="C44" s="500"/>
      <c r="D44" s="500"/>
      <c r="E44" s="500"/>
      <c r="F44" s="501"/>
      <c r="G44" s="185"/>
      <c r="H44" s="186"/>
      <c r="I44" s="502">
        <f t="shared" si="8"/>
        <v>0</v>
      </c>
      <c r="J44" s="503"/>
      <c r="L44" s="512"/>
      <c r="M44" s="513"/>
      <c r="N44" s="513"/>
      <c r="O44" s="514"/>
      <c r="P44" s="519"/>
      <c r="Q44" s="523"/>
      <c r="R44" s="524"/>
    </row>
    <row r="45" spans="1:22" ht="13.5" thickBot="1" x14ac:dyDescent="0.25">
      <c r="A45" s="499"/>
      <c r="B45" s="500"/>
      <c r="C45" s="500"/>
      <c r="D45" s="500"/>
      <c r="E45" s="500"/>
      <c r="F45" s="501"/>
      <c r="G45" s="185"/>
      <c r="H45" s="186"/>
      <c r="I45" s="502">
        <f t="shared" si="8"/>
        <v>0</v>
      </c>
      <c r="J45" s="503"/>
      <c r="L45" s="515"/>
      <c r="M45" s="516"/>
      <c r="N45" s="516"/>
      <c r="O45" s="517"/>
      <c r="P45" s="520"/>
      <c r="Q45" s="187" t="s">
        <v>214</v>
      </c>
      <c r="R45" s="188" t="s">
        <v>215</v>
      </c>
    </row>
    <row r="46" spans="1:22" x14ac:dyDescent="0.2">
      <c r="A46" s="499"/>
      <c r="B46" s="500"/>
      <c r="C46" s="500"/>
      <c r="D46" s="500"/>
      <c r="E46" s="500"/>
      <c r="F46" s="501"/>
      <c r="G46" s="185"/>
      <c r="H46" s="186"/>
      <c r="I46" s="502">
        <f t="shared" si="8"/>
        <v>0</v>
      </c>
      <c r="J46" s="503"/>
      <c r="L46" s="189">
        <v>1</v>
      </c>
      <c r="M46" s="190" t="s">
        <v>216</v>
      </c>
      <c r="N46" s="191"/>
      <c r="O46" s="192"/>
      <c r="P46" s="193">
        <v>22</v>
      </c>
      <c r="Q46" s="194">
        <v>27</v>
      </c>
      <c r="R46" s="195">
        <f>Q46/60</f>
        <v>0.45</v>
      </c>
    </row>
    <row r="47" spans="1:22" x14ac:dyDescent="0.2">
      <c r="A47" s="499"/>
      <c r="B47" s="500"/>
      <c r="C47" s="500"/>
      <c r="D47" s="500"/>
      <c r="E47" s="500"/>
      <c r="F47" s="501"/>
      <c r="G47" s="185"/>
      <c r="H47" s="186"/>
      <c r="I47" s="502">
        <f t="shared" si="8"/>
        <v>0</v>
      </c>
      <c r="J47" s="503"/>
      <c r="L47" s="196">
        <v>8</v>
      </c>
      <c r="M47" s="197" t="s">
        <v>2</v>
      </c>
      <c r="N47" s="198"/>
      <c r="O47" s="199"/>
      <c r="P47" s="200">
        <v>23</v>
      </c>
      <c r="Q47" s="196">
        <v>27</v>
      </c>
      <c r="R47" s="201">
        <f t="shared" ref="R47:R56" si="9">Q47/60</f>
        <v>0.45</v>
      </c>
    </row>
    <row r="48" spans="1:22" x14ac:dyDescent="0.2">
      <c r="A48" s="499"/>
      <c r="B48" s="500"/>
      <c r="C48" s="500"/>
      <c r="D48" s="500"/>
      <c r="E48" s="500"/>
      <c r="F48" s="501"/>
      <c r="G48" s="185"/>
      <c r="H48" s="186"/>
      <c r="I48" s="502">
        <f t="shared" si="8"/>
        <v>0</v>
      </c>
      <c r="J48" s="503"/>
      <c r="L48" s="202">
        <v>9</v>
      </c>
      <c r="M48" s="203" t="s">
        <v>217</v>
      </c>
      <c r="N48" s="204"/>
      <c r="O48" s="205"/>
      <c r="P48" s="200">
        <v>21</v>
      </c>
      <c r="Q48" s="196">
        <v>27</v>
      </c>
      <c r="R48" s="201">
        <f t="shared" si="9"/>
        <v>0.45</v>
      </c>
    </row>
    <row r="49" spans="1:18" x14ac:dyDescent="0.2">
      <c r="A49" s="499"/>
      <c r="B49" s="500"/>
      <c r="C49" s="500"/>
      <c r="D49" s="500"/>
      <c r="E49" s="500"/>
      <c r="F49" s="501"/>
      <c r="G49" s="185"/>
      <c r="H49" s="186"/>
      <c r="I49" s="502">
        <f t="shared" si="8"/>
        <v>0</v>
      </c>
      <c r="J49" s="503"/>
      <c r="L49" s="202">
        <v>10</v>
      </c>
      <c r="M49" s="203" t="s">
        <v>218</v>
      </c>
      <c r="N49" s="204"/>
      <c r="O49" s="205"/>
      <c r="P49" s="206">
        <v>23</v>
      </c>
      <c r="Q49" s="202">
        <v>30</v>
      </c>
      <c r="R49" s="201">
        <f t="shared" si="9"/>
        <v>0.5</v>
      </c>
    </row>
    <row r="50" spans="1:18" ht="13.7" customHeight="1" x14ac:dyDescent="0.2">
      <c r="A50" s="499"/>
      <c r="B50" s="500"/>
      <c r="C50" s="500"/>
      <c r="D50" s="500"/>
      <c r="E50" s="500"/>
      <c r="F50" s="501"/>
      <c r="G50" s="185"/>
      <c r="H50" s="186"/>
      <c r="I50" s="502">
        <f t="shared" si="8"/>
        <v>0</v>
      </c>
      <c r="J50" s="503"/>
      <c r="L50" s="202">
        <v>11</v>
      </c>
      <c r="M50" s="203" t="s">
        <v>16</v>
      </c>
      <c r="N50" s="204"/>
      <c r="O50" s="205"/>
      <c r="P50" s="206">
        <v>25</v>
      </c>
      <c r="Q50" s="202">
        <v>38</v>
      </c>
      <c r="R50" s="201">
        <f t="shared" si="9"/>
        <v>0.6333333333333333</v>
      </c>
    </row>
    <row r="51" spans="1:18" ht="13.7" customHeight="1" x14ac:dyDescent="0.2">
      <c r="A51" s="499"/>
      <c r="B51" s="500"/>
      <c r="C51" s="500"/>
      <c r="D51" s="500"/>
      <c r="E51" s="500"/>
      <c r="F51" s="501"/>
      <c r="G51" s="185"/>
      <c r="H51" s="186"/>
      <c r="I51" s="502">
        <f t="shared" si="8"/>
        <v>0</v>
      </c>
      <c r="J51" s="503"/>
      <c r="L51" s="196">
        <v>12</v>
      </c>
      <c r="M51" s="197" t="s">
        <v>17</v>
      </c>
      <c r="N51" s="198"/>
      <c r="O51" s="199"/>
      <c r="P51" s="206">
        <v>22</v>
      </c>
      <c r="Q51" s="202">
        <v>30</v>
      </c>
      <c r="R51" s="201">
        <f t="shared" si="9"/>
        <v>0.5</v>
      </c>
    </row>
    <row r="52" spans="1:18" x14ac:dyDescent="0.2">
      <c r="A52" s="499"/>
      <c r="B52" s="500"/>
      <c r="C52" s="500"/>
      <c r="D52" s="500"/>
      <c r="E52" s="500"/>
      <c r="F52" s="501"/>
      <c r="G52" s="185"/>
      <c r="H52" s="186"/>
      <c r="I52" s="502">
        <f t="shared" si="8"/>
        <v>0</v>
      </c>
      <c r="J52" s="503"/>
      <c r="L52" s="202">
        <v>13</v>
      </c>
      <c r="M52" s="203" t="s">
        <v>18</v>
      </c>
      <c r="N52" s="204"/>
      <c r="O52" s="205"/>
      <c r="P52" s="206">
        <v>24</v>
      </c>
      <c r="Q52" s="202">
        <v>32</v>
      </c>
      <c r="R52" s="201">
        <f t="shared" si="9"/>
        <v>0.53333333333333333</v>
      </c>
    </row>
    <row r="53" spans="1:18" x14ac:dyDescent="0.2">
      <c r="A53" s="499"/>
      <c r="B53" s="500"/>
      <c r="C53" s="500"/>
      <c r="D53" s="500"/>
      <c r="E53" s="500"/>
      <c r="F53" s="501"/>
      <c r="G53" s="185"/>
      <c r="H53" s="186"/>
      <c r="I53" s="502">
        <f t="shared" si="8"/>
        <v>0</v>
      </c>
      <c r="J53" s="503"/>
      <c r="L53" s="202">
        <v>14</v>
      </c>
      <c r="M53" s="203" t="s">
        <v>19</v>
      </c>
      <c r="N53" s="204"/>
      <c r="O53" s="205"/>
      <c r="P53" s="200">
        <v>26</v>
      </c>
      <c r="Q53" s="196">
        <v>35</v>
      </c>
      <c r="R53" s="201">
        <f t="shared" si="9"/>
        <v>0.58333333333333337</v>
      </c>
    </row>
    <row r="54" spans="1:18" x14ac:dyDescent="0.2">
      <c r="A54" s="499"/>
      <c r="B54" s="500"/>
      <c r="C54" s="500"/>
      <c r="D54" s="500"/>
      <c r="E54" s="500"/>
      <c r="F54" s="501"/>
      <c r="G54" s="185"/>
      <c r="H54" s="186"/>
      <c r="I54" s="502">
        <f t="shared" si="8"/>
        <v>0</v>
      </c>
      <c r="J54" s="503"/>
      <c r="L54" s="202">
        <v>15</v>
      </c>
      <c r="M54" s="203" t="s">
        <v>219</v>
      </c>
      <c r="N54" s="204"/>
      <c r="O54" s="205"/>
      <c r="P54" s="206">
        <v>28</v>
      </c>
      <c r="Q54" s="202">
        <v>35</v>
      </c>
      <c r="R54" s="201">
        <f t="shared" si="9"/>
        <v>0.58333333333333337</v>
      </c>
    </row>
    <row r="55" spans="1:18" x14ac:dyDescent="0.2">
      <c r="A55" s="499"/>
      <c r="B55" s="500"/>
      <c r="C55" s="500"/>
      <c r="D55" s="500"/>
      <c r="E55" s="500"/>
      <c r="F55" s="501"/>
      <c r="G55" s="185"/>
      <c r="H55" s="186"/>
      <c r="I55" s="502">
        <f t="shared" si="8"/>
        <v>0</v>
      </c>
      <c r="J55" s="503"/>
      <c r="L55" s="202">
        <v>16</v>
      </c>
      <c r="M55" s="203" t="s">
        <v>220</v>
      </c>
      <c r="N55" s="204"/>
      <c r="O55" s="205"/>
      <c r="P55" s="206">
        <v>23</v>
      </c>
      <c r="Q55" s="202">
        <v>29</v>
      </c>
      <c r="R55" s="201">
        <f t="shared" si="9"/>
        <v>0.48333333333333334</v>
      </c>
    </row>
    <row r="56" spans="1:18" ht="13.5" thickBot="1" x14ac:dyDescent="0.25">
      <c r="A56" s="499"/>
      <c r="B56" s="500"/>
      <c r="C56" s="500"/>
      <c r="D56" s="500"/>
      <c r="E56" s="500"/>
      <c r="F56" s="501"/>
      <c r="G56" s="185"/>
      <c r="H56" s="186"/>
      <c r="I56" s="502">
        <f t="shared" si="8"/>
        <v>0</v>
      </c>
      <c r="J56" s="503"/>
      <c r="L56" s="207">
        <v>17</v>
      </c>
      <c r="M56" s="208" t="s">
        <v>78</v>
      </c>
      <c r="N56" s="209"/>
      <c r="O56" s="210"/>
      <c r="P56" s="211">
        <v>23</v>
      </c>
      <c r="Q56" s="212">
        <v>27</v>
      </c>
      <c r="R56" s="213">
        <f t="shared" si="9"/>
        <v>0.45</v>
      </c>
    </row>
    <row r="57" spans="1:18" x14ac:dyDescent="0.2">
      <c r="A57" s="499"/>
      <c r="B57" s="500"/>
      <c r="C57" s="500"/>
      <c r="D57" s="500"/>
      <c r="E57" s="500"/>
      <c r="F57" s="501"/>
      <c r="G57" s="185"/>
      <c r="H57" s="186"/>
      <c r="I57" s="502">
        <f t="shared" si="8"/>
        <v>0</v>
      </c>
      <c r="J57" s="503"/>
    </row>
    <row r="58" spans="1:18" x14ac:dyDescent="0.2">
      <c r="A58" s="499"/>
      <c r="B58" s="500"/>
      <c r="C58" s="500"/>
      <c r="D58" s="500"/>
      <c r="E58" s="500"/>
      <c r="F58" s="501"/>
      <c r="G58" s="185"/>
      <c r="H58" s="186"/>
      <c r="I58" s="502">
        <f t="shared" si="8"/>
        <v>0</v>
      </c>
      <c r="J58" s="503"/>
    </row>
    <row r="59" spans="1:18" x14ac:dyDescent="0.2">
      <c r="A59" s="499"/>
      <c r="B59" s="500"/>
      <c r="C59" s="500"/>
      <c r="D59" s="500"/>
      <c r="E59" s="500"/>
      <c r="F59" s="501"/>
      <c r="G59" s="185"/>
      <c r="H59" s="186"/>
      <c r="I59" s="502">
        <f t="shared" si="8"/>
        <v>0</v>
      </c>
      <c r="J59" s="503"/>
    </row>
    <row r="60" spans="1:18" x14ac:dyDescent="0.2">
      <c r="A60" s="499"/>
      <c r="B60" s="500"/>
      <c r="C60" s="500"/>
      <c r="D60" s="500"/>
      <c r="E60" s="500"/>
      <c r="F60" s="501"/>
      <c r="G60" s="185"/>
      <c r="H60" s="186"/>
      <c r="I60" s="502">
        <f t="shared" si="8"/>
        <v>0</v>
      </c>
      <c r="J60" s="503"/>
    </row>
    <row r="61" spans="1:18" x14ac:dyDescent="0.2">
      <c r="A61" s="499"/>
      <c r="B61" s="500"/>
      <c r="C61" s="500"/>
      <c r="D61" s="500"/>
      <c r="E61" s="500"/>
      <c r="F61" s="501"/>
      <c r="G61" s="185"/>
      <c r="H61" s="186"/>
      <c r="I61" s="502">
        <f t="shared" si="8"/>
        <v>0</v>
      </c>
      <c r="J61" s="503"/>
    </row>
    <row r="62" spans="1:18" x14ac:dyDescent="0.2">
      <c r="A62" s="499"/>
      <c r="B62" s="500"/>
      <c r="C62" s="500"/>
      <c r="D62" s="500"/>
      <c r="E62" s="500"/>
      <c r="F62" s="501"/>
      <c r="G62" s="185"/>
      <c r="H62" s="186"/>
      <c r="I62" s="502">
        <f t="shared" si="8"/>
        <v>0</v>
      </c>
      <c r="J62" s="503"/>
    </row>
    <row r="63" spans="1:18" x14ac:dyDescent="0.2">
      <c r="A63" s="499"/>
      <c r="B63" s="500"/>
      <c r="C63" s="500"/>
      <c r="D63" s="500"/>
      <c r="E63" s="500"/>
      <c r="F63" s="501"/>
      <c r="G63" s="214"/>
      <c r="H63" s="215"/>
      <c r="I63" s="502">
        <f t="shared" si="8"/>
        <v>0</v>
      </c>
      <c r="J63" s="503"/>
    </row>
    <row r="64" spans="1:18" x14ac:dyDescent="0.2">
      <c r="A64" s="499"/>
      <c r="B64" s="500"/>
      <c r="C64" s="500"/>
      <c r="D64" s="500"/>
      <c r="E64" s="500"/>
      <c r="F64" s="501"/>
      <c r="G64" s="214"/>
      <c r="H64" s="215"/>
      <c r="I64" s="502">
        <f t="shared" si="8"/>
        <v>0</v>
      </c>
      <c r="J64" s="503"/>
    </row>
    <row r="65" spans="1:10" x14ac:dyDescent="0.2">
      <c r="A65" s="499"/>
      <c r="B65" s="500"/>
      <c r="C65" s="500"/>
      <c r="D65" s="500"/>
      <c r="E65" s="500"/>
      <c r="F65" s="501"/>
      <c r="G65" s="214"/>
      <c r="H65" s="215"/>
      <c r="I65" s="502">
        <f t="shared" si="8"/>
        <v>0</v>
      </c>
      <c r="J65" s="503"/>
    </row>
    <row r="66" spans="1:10" ht="13.5" thickBot="1" x14ac:dyDescent="0.25">
      <c r="A66" s="504"/>
      <c r="B66" s="505"/>
      <c r="C66" s="505"/>
      <c r="D66" s="505"/>
      <c r="E66" s="505"/>
      <c r="F66" s="506"/>
      <c r="G66" s="216"/>
      <c r="H66" s="217"/>
      <c r="I66" s="507">
        <f t="shared" si="8"/>
        <v>0</v>
      </c>
      <c r="J66" s="508"/>
    </row>
    <row r="67" spans="1:10" ht="23.1" customHeight="1" thickBot="1" x14ac:dyDescent="0.25">
      <c r="A67" s="218"/>
      <c r="B67" s="218"/>
      <c r="C67" s="218"/>
      <c r="D67" s="218"/>
      <c r="E67" s="218"/>
      <c r="F67" s="218"/>
      <c r="I67" s="497">
        <f>SUM(I39:J66)</f>
        <v>0</v>
      </c>
      <c r="J67" s="498"/>
    </row>
    <row r="68" spans="1:10" x14ac:dyDescent="0.2">
      <c r="A68" s="218"/>
      <c r="B68" s="218"/>
      <c r="C68" s="218"/>
      <c r="D68" s="218"/>
      <c r="E68" s="218"/>
      <c r="F68" s="218"/>
    </row>
  </sheetData>
  <mergeCells count="104">
    <mergeCell ref="A1:A2"/>
    <mergeCell ref="B1:F2"/>
    <mergeCell ref="G1:G2"/>
    <mergeCell ref="H1:H2"/>
    <mergeCell ref="L1:N2"/>
    <mergeCell ref="O1:O2"/>
    <mergeCell ref="B6:F6"/>
    <mergeCell ref="L6:N6"/>
    <mergeCell ref="B7:F7"/>
    <mergeCell ref="B8:F8"/>
    <mergeCell ref="I8:J8"/>
    <mergeCell ref="H11:I12"/>
    <mergeCell ref="J11:J12"/>
    <mergeCell ref="P1:X1"/>
    <mergeCell ref="B3:F3"/>
    <mergeCell ref="L3:N3"/>
    <mergeCell ref="B4:F4"/>
    <mergeCell ref="L4:N4"/>
    <mergeCell ref="B5:F5"/>
    <mergeCell ref="I5:J5"/>
    <mergeCell ref="L5:N5"/>
    <mergeCell ref="H15:I15"/>
    <mergeCell ref="H16:I16"/>
    <mergeCell ref="H17:I17"/>
    <mergeCell ref="H18:I18"/>
    <mergeCell ref="H19:I19"/>
    <mergeCell ref="H20:I20"/>
    <mergeCell ref="A12:A14"/>
    <mergeCell ref="B12:B14"/>
    <mergeCell ref="C12:C14"/>
    <mergeCell ref="D12:D14"/>
    <mergeCell ref="E12:E14"/>
    <mergeCell ref="H13:I13"/>
    <mergeCell ref="H14:I14"/>
    <mergeCell ref="U21:U22"/>
    <mergeCell ref="V21:V22"/>
    <mergeCell ref="A38:F38"/>
    <mergeCell ref="I38:J38"/>
    <mergeCell ref="A39:F39"/>
    <mergeCell ref="I39:J39"/>
    <mergeCell ref="L21:O22"/>
    <mergeCell ref="P21:P22"/>
    <mergeCell ref="Q21:Q22"/>
    <mergeCell ref="R21:R22"/>
    <mergeCell ref="S21:S22"/>
    <mergeCell ref="T21:T22"/>
    <mergeCell ref="P43:P45"/>
    <mergeCell ref="Q43:R44"/>
    <mergeCell ref="A44:F44"/>
    <mergeCell ref="I44:J44"/>
    <mergeCell ref="A45:F45"/>
    <mergeCell ref="I45:J45"/>
    <mergeCell ref="A40:F40"/>
    <mergeCell ref="I40:J40"/>
    <mergeCell ref="A41:F41"/>
    <mergeCell ref="I41:J41"/>
    <mergeCell ref="A42:F42"/>
    <mergeCell ref="I42:J42"/>
    <mergeCell ref="A46:F46"/>
    <mergeCell ref="I46:J46"/>
    <mergeCell ref="A47:F47"/>
    <mergeCell ref="I47:J47"/>
    <mergeCell ref="A48:F48"/>
    <mergeCell ref="I48:J48"/>
    <mergeCell ref="A43:F43"/>
    <mergeCell ref="I43:J43"/>
    <mergeCell ref="L43:O45"/>
    <mergeCell ref="A52:F52"/>
    <mergeCell ref="I52:J52"/>
    <mergeCell ref="A53:F53"/>
    <mergeCell ref="I53:J53"/>
    <mergeCell ref="A54:F54"/>
    <mergeCell ref="I54:J54"/>
    <mergeCell ref="A49:F49"/>
    <mergeCell ref="I49:J49"/>
    <mergeCell ref="A50:F50"/>
    <mergeCell ref="I50:J50"/>
    <mergeCell ref="A51:F51"/>
    <mergeCell ref="I51:J51"/>
    <mergeCell ref="A58:F58"/>
    <mergeCell ref="I58:J58"/>
    <mergeCell ref="A59:F59"/>
    <mergeCell ref="I59:J59"/>
    <mergeCell ref="A60:F60"/>
    <mergeCell ref="I60:J60"/>
    <mergeCell ref="A55:F55"/>
    <mergeCell ref="I55:J55"/>
    <mergeCell ref="A56:F56"/>
    <mergeCell ref="I56:J56"/>
    <mergeCell ref="A57:F57"/>
    <mergeCell ref="I57:J57"/>
    <mergeCell ref="I67:J67"/>
    <mergeCell ref="A64:F64"/>
    <mergeCell ref="I64:J64"/>
    <mergeCell ref="A65:F65"/>
    <mergeCell ref="I65:J65"/>
    <mergeCell ref="A66:F66"/>
    <mergeCell ref="I66:J66"/>
    <mergeCell ref="A61:F61"/>
    <mergeCell ref="I61:J61"/>
    <mergeCell ref="A62:F62"/>
    <mergeCell ref="I62:J62"/>
    <mergeCell ref="A63:F63"/>
    <mergeCell ref="I63:J63"/>
  </mergeCells>
  <conditionalFormatting sqref="A3:A8">
    <cfRule type="cellIs" dxfId="2" priority="3" stopIfTrue="1" operator="greaterThan">
      <formula>0</formula>
    </cfRule>
  </conditionalFormatting>
  <conditionalFormatting sqref="I8:J8 A6:A8">
    <cfRule type="cellIs" dxfId="1" priority="2" stopIfTrue="1" operator="greaterThan">
      <formula>0</formula>
    </cfRule>
  </conditionalFormatting>
  <conditionalFormatting sqref="I5:J5">
    <cfRule type="cellIs" dxfId="0" priority="1" stopIfTrue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JUANO</vt:lpstr>
      <vt:lpstr>Hoja1</vt:lpstr>
      <vt:lpstr>JUANO!Área_de_impresión</vt:lpstr>
    </vt:vector>
  </TitlesOfParts>
  <Company>Dark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IPO.</dc:creator>
  <cp:lastModifiedBy>Susana Arnas</cp:lastModifiedBy>
  <cp:lastPrinted>2021-01-11T06:52:34Z</cp:lastPrinted>
  <dcterms:created xsi:type="dcterms:W3CDTF">2009-10-08T11:56:09Z</dcterms:created>
  <dcterms:modified xsi:type="dcterms:W3CDTF">2023-01-09T10:51:48Z</dcterms:modified>
</cp:coreProperties>
</file>